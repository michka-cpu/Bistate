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14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ee7a4e0cf645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a360a5369bc94106"/>
    <x:sheet xmlns:r="http://schemas.openxmlformats.org/officeDocument/2006/relationships" name="Assumptions" sheetId="2" r:id="R4dc3410fb68f4281"/>
    <x:sheet xmlns:r="http://schemas.openxmlformats.org/officeDocument/2006/relationships" name="Acquisition Costs" sheetId="3" r:id="R863e369550c04233"/>
    <x:sheet xmlns:r="http://schemas.openxmlformats.org/officeDocument/2006/relationships" name="Renovation Budget" sheetId="4" r:id="R987dc0012c624c93"/>
    <x:sheet xmlns:r="http://schemas.openxmlformats.org/officeDocument/2006/relationships" name="Market Comps" sheetId="5" r:id="R54d4ee7f510e4851"/>
    <x:sheet xmlns:r="http://schemas.openxmlformats.org/officeDocument/2006/relationships" name="Wedding Comps" sheetId="6" r:id="Rf06c58f6b2104513"/>
    <x:sheet xmlns:r="http://schemas.openxmlformats.org/officeDocument/2006/relationships" name="Property Ranking" sheetId="7" r:id="Ra74eaef7826b4f67"/>
    <x:sheet xmlns:r="http://schemas.openxmlformats.org/officeDocument/2006/relationships" name="Ranking Rules" sheetId="8" r:id="R02bc62f37af74137"/>
    <x:sheet xmlns:r="http://schemas.openxmlformats.org/officeDocument/2006/relationships" name="Revenue Model" sheetId="9" r:id="R0cd68cba55ff4a02"/>
    <x:sheet xmlns:r="http://schemas.openxmlformats.org/officeDocument/2006/relationships" name="Operating Costs" sheetId="10" r:id="R2730291d249b4cb6"/>
    <x:sheet xmlns:r="http://schemas.openxmlformats.org/officeDocument/2006/relationships" name="Financing" sheetId="11" r:id="R7c24bf5307974eb6"/>
    <x:sheet xmlns:r="http://schemas.openxmlformats.org/officeDocument/2006/relationships" name="Tax Model" sheetId="12" r:id="R40edbbf2e7ce4a74"/>
    <x:sheet xmlns:r="http://schemas.openxmlformats.org/officeDocument/2006/relationships" name="Dashboard" sheetId="13" r:id="R16cf689c664a4d0b"/>
    <x:sheet xmlns:r="http://schemas.openxmlformats.org/officeDocument/2006/relationships" name="10Y Projection" sheetId="14" r:id="R0e84cd6c7f4a4945"/>
    <x:sheet xmlns:r="http://schemas.openxmlformats.org/officeDocument/2006/relationships" name="Sensitivity" sheetId="15" r:id="R53f57d92dbac4d4f"/>
    <x:sheet xmlns:r="http://schemas.openxmlformats.org/officeDocument/2006/relationships" name="Due Diligence" sheetId="16" r:id="R309151d53c5243d9"/>
    <x:sheet xmlns:r="http://schemas.openxmlformats.org/officeDocument/2006/relationships" name="Sources" sheetId="17" r:id="Rd3b5bc72addc46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$#,##0;[Red]($#,##0);-"/>
    <x:numFmt numFmtId="201" formatCode="0.0%;[Red](0.0%);-"/>
    <x:numFmt numFmtId="202" formatCode="#,##0;[Red](#,##0);-"/>
    <x:numFmt numFmtId="203" formatCode="0.0"/>
    <x:numFmt numFmtId="204" formatCode="0"/>
    <x:numFmt numFmtId="205" formatCode="0.0x"/>
  </x:numFmts>
  <x:fonts count="9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000000"/>
      <x:name val="Carlito"/>
    </x:font>
    <x:font>
      <x:b/>
      <x:sz val="11"/>
      <x:color rgb="FF000000"/>
      <x:name val="Carlito"/>
    </x:font>
    <x:font>
      <x:sz val="11"/>
      <x:color rgb="FF008000"/>
      <x:name val="Carlito"/>
    </x:font>
    <x:font>
      <x:b/>
      <x:sz val="11"/>
      <x:color rgb="FF00800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</x:fills>
  <x:borders count="4">
    <x:border/>
    <x:border/>
    <x:border>
      <x:top style="thin">
        <x:color rgb="FF1F1F1F"/>
      </x:top>
    </x:border>
    <x:border>
      <x:top style="thin">
        <x:color rgb="FF1F1F1F"/>
      </x:top>
    </x:border>
  </x:borders>
  <x:cellStyleXfs count="1">
    <x:xf numFmtId="0" fontId="0" fillId="0" borderId="0"/>
  </x:cellStyleXfs>
  <x:cellXfs count="7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200" fontId="4" fillId="3" borderId="0" xfId="0" applyNumberFormat="1" applyFont="1" applyFill="1" applyBorder="1"/>
    <x:xf numFmtId="200" fontId="4" fillId="3" borderId="1" xfId="0" applyNumberFormat="1" applyFont="1" applyFill="1" applyBorder="1"/>
    <x:xf numFmtId="201" fontId="4" fillId="3" borderId="0" xfId="0" applyNumberFormat="1" applyFont="1" applyFill="1" applyBorder="1"/>
    <x:xf numFmtId="201" fontId="4" fillId="3" borderId="1" xfId="0" applyNumberFormat="1" applyFont="1" applyFill="1" applyBorder="1"/>
    <x:xf numFmtId="202" fontId="4" fillId="3" borderId="0" xfId="0" applyNumberFormat="1" applyFont="1" applyFill="1" applyBorder="1"/>
    <x:xf numFmtId="202" fontId="4" fillId="3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0" fontId="6" fillId="0" borderId="0" xfId="0" applyNumberFormat="1" applyFont="1" applyFill="1" applyBorder="1"/>
    <x:xf numFmtId="200" fontId="6" fillId="0" borderId="1" xfId="0" applyNumberFormat="1" applyFont="1" applyFill="1" applyBorder="1"/>
    <x:xf numFmtId="0" fontId="2" fillId="0" borderId="2" xfId="0" applyNumberFormat="1" applyFont="1" applyFill="1" applyBorder="1"/>
    <x:xf numFmtId="200" fontId="6" fillId="0" borderId="2" xfId="0" applyNumberFormat="1" applyFont="1" applyFill="1" applyBorder="1"/>
    <x:xf numFmtId="0" fontId="2" fillId="0" borderId="3" xfId="0" applyNumberFormat="1" applyFont="1" applyFill="1" applyBorder="1"/>
    <x:xf numFmtId="200" fontId="6" fillId="0" borderId="3" xfId="0" applyNumberFormat="1" applyFont="1" applyFill="1" applyBorder="1"/>
    <x:xf numFmtId="200" fontId="2" fillId="0" borderId="2" xfId="0" applyNumberFormat="1" applyFont="1" applyFill="1" applyBorder="1"/>
    <x:xf numFmtId="200" fontId="2" fillId="0" borderId="3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200" fontId="7" fillId="0" borderId="0" xfId="0" applyNumberFormat="1" applyFont="1" applyFill="1" applyBorder="1"/>
    <x:xf numFmtId="200" fontId="7" fillId="0" borderId="1" xfId="0" applyNumberFormat="1" applyFont="1" applyFill="1" applyBorder="1"/>
    <x:xf numFmtId="201" fontId="7" fillId="0" borderId="0" xfId="0" applyNumberFormat="1" applyFont="1" applyFill="1" applyBorder="1"/>
    <x:xf numFmtId="201" fontId="7" fillId="0" borderId="1" xfId="0" applyNumberFormat="1" applyFont="1" applyFill="1" applyBorder="1"/>
    <x:xf numFmtId="203" fontId="7" fillId="0" borderId="0" xfId="0" applyNumberFormat="1" applyFont="1" applyFill="1" applyBorder="1"/>
    <x:xf numFmtId="203" fontId="7" fillId="0" borderId="1" xfId="0" applyNumberFormat="1" applyFont="1" applyFill="1" applyBorder="1"/>
    <x:xf numFmtId="204" fontId="7" fillId="0" borderId="0" xfId="0" applyNumberFormat="1" applyFont="1" applyFill="1" applyBorder="1"/>
    <x:xf numFmtId="204" fontId="7" fillId="0" borderId="1" xfId="0" applyNumberFormat="1" applyFont="1" applyFill="1" applyBorder="1"/>
    <x:xf numFmtId="202" fontId="7" fillId="0" borderId="0" xfId="0" applyNumberFormat="1" applyFont="1" applyFill="1" applyBorder="1"/>
    <x:xf numFmtId="202" fontId="7" fillId="0" borderId="1" xfId="0" applyNumberFormat="1" applyFont="1" applyFill="1" applyBorder="1"/>
    <x:xf numFmtId="200" fontId="8" fillId="0" borderId="0" xfId="0" applyNumberFormat="1" applyFont="1" applyFill="1" applyBorder="1"/>
    <x:xf numFmtId="200" fontId="8" fillId="0" borderId="1" xfId="0" applyNumberFormat="1" applyFont="1" applyFill="1" applyBorder="1"/>
    <x:xf numFmtId="200" fontId="8" fillId="0" borderId="2" xfId="0" applyNumberFormat="1" applyFont="1" applyFill="1" applyBorder="1"/>
    <x:xf numFmtId="200" fontId="8" fillId="0" borderId="3" xfId="0" applyNumberFormat="1" applyFont="1" applyFill="1" applyBorder="1"/>
    <x:xf numFmtId="205" fontId="7" fillId="0" borderId="0" xfId="0" applyNumberFormat="1" applyFont="1" applyFill="1" applyBorder="1"/>
    <x:xf numFmtId="205" fontId="7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1" fontId="2" fillId="0" borderId="0" xfId="0" applyNumberFormat="1" applyFont="1" applyFill="1" applyBorder="1"/>
    <x:xf numFmtId="201" fontId="2" fillId="0" borderId="1" xfId="0" applyNumberFormat="1" applyFont="1" applyFill="1" applyBorder="1"/>
    <x:xf numFmtId="203" fontId="2" fillId="0" borderId="2" xfId="0" applyNumberFormat="1" applyFont="1" applyFill="1" applyBorder="1"/>
    <x:xf numFmtId="203" fontId="2" fillId="0" borderId="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da61bdbb764d94" /><Relationship Type="http://schemas.openxmlformats.org/officeDocument/2006/relationships/theme" Target="/xl/theme/theme1.xml" Id="Reef7bb2bdfdb4e96" /><Relationship Type="http://schemas.openxmlformats.org/officeDocument/2006/relationships/sharedStrings" Target="/xl/sharedStrings.xml" Id="Rb840fe0fcbf449c9" /><Relationship Type="http://schemas.openxmlformats.org/officeDocument/2006/relationships/worksheet" Target="/xl/worksheets/sheet1.xml" Id="Ra360a5369bc94106" /><Relationship Type="http://schemas.openxmlformats.org/officeDocument/2006/relationships/worksheet" Target="/xl/worksheets/sheet2.xml" Id="R4dc3410fb68f4281" /><Relationship Type="http://schemas.openxmlformats.org/officeDocument/2006/relationships/worksheet" Target="/xl/worksheets/sheet3.xml" Id="R863e369550c04233" /><Relationship Type="http://schemas.openxmlformats.org/officeDocument/2006/relationships/worksheet" Target="/xl/worksheets/sheet4.xml" Id="R987dc0012c624c93" /><Relationship Type="http://schemas.openxmlformats.org/officeDocument/2006/relationships/worksheet" Target="/xl/worksheets/sheet5.xml" Id="R54d4ee7f510e4851" /><Relationship Type="http://schemas.openxmlformats.org/officeDocument/2006/relationships/worksheet" Target="/xl/worksheets/sheet6.xml" Id="Rf06c58f6b2104513" /><Relationship Type="http://schemas.openxmlformats.org/officeDocument/2006/relationships/worksheet" Target="/xl/worksheets/sheet7.xml" Id="Ra74eaef7826b4f67" /><Relationship Type="http://schemas.openxmlformats.org/officeDocument/2006/relationships/worksheet" Target="/xl/worksheets/sheet8.xml" Id="R02bc62f37af74137" /><Relationship Type="http://schemas.openxmlformats.org/officeDocument/2006/relationships/worksheet" Target="/xl/worksheets/sheet9.xml" Id="R0cd68cba55ff4a02" /><Relationship Type="http://schemas.openxmlformats.org/officeDocument/2006/relationships/worksheet" Target="/xl/worksheets/sheet10.xml" Id="R2730291d249b4cb6" /><Relationship Type="http://schemas.openxmlformats.org/officeDocument/2006/relationships/worksheet" Target="/xl/worksheets/sheet11.xml" Id="R7c24bf5307974eb6" /><Relationship Type="http://schemas.openxmlformats.org/officeDocument/2006/relationships/worksheet" Target="/xl/worksheets/sheet12.xml" Id="R40edbbf2e7ce4a74" /><Relationship Type="http://schemas.openxmlformats.org/officeDocument/2006/relationships/worksheet" Target="/xl/worksheets/sheet13.xml" Id="R16cf689c664a4d0b" /><Relationship Type="http://schemas.openxmlformats.org/officeDocument/2006/relationships/worksheet" Target="/xl/worksheets/sheet14.xml" Id="R0e84cd6c7f4a4945" /><Relationship Type="http://schemas.openxmlformats.org/officeDocument/2006/relationships/worksheet" Target="/xl/worksheets/sheet15.xml" Id="R53f57d92dbac4d4f" /><Relationship Type="http://schemas.openxmlformats.org/officeDocument/2006/relationships/worksheet" Target="/xl/worksheets/sheet16.xml" Id="R309151d53c5243d9" /><Relationship Type="http://schemas.openxmlformats.org/officeDocument/2006/relationships/worksheet" Target="/xl/worksheets/sheet17.xml" Id="Rd3b5bc72addc466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e6405ca863941d6" /><Relationship Type="http://schemas.openxmlformats.org/officeDocument/2006/relationships/chart" Target="/xl/drawings/charts/chart2.xml" Id="Rc913ed2051ab4993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60fc3ceebd6049db" /><Relationship Type="http://schemas.openxmlformats.org/officeDocument/2006/relationships/chart" Target="/xl/drawings/charts/chart4.xml" Id="Reee1b67114984dc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Revenue, NOI and Cash Flow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Series 1</c:v>
          </c:tx>
          <c:cat>
            <c:strRef>
              <c:f>'Dashboard'!$A$10:$A$14</c:f>
              <c:strCache>
                <c:ptCount val="0"/>
              </c:strCache>
            </c:strRef>
          </c:cat>
          <c:val>
            <c:numRef>
              <c:f>'Dashboard'!$B$10:$B$14</c:f>
              <c:numCache>
                <c:formatCode>$#,##0;[Red]($#,##0);-</c:formatCode>
                <c:ptCount val="0"/>
              </c:numCache>
            </c:numRef>
          </c:val>
        </c:ser>
        <c:ser>
          <c:idx val="1"/>
          <c:order val="1"/>
          <c:tx>
            <c:v>Series 2</c:v>
          </c:tx>
          <c:cat>
            <c:strRef>
              <c:f>'Dashboard'!$A$10:$A$14</c:f>
              <c:strCache>
                <c:ptCount val="0"/>
              </c:strCache>
            </c:strRef>
          </c:cat>
          <c:val>
            <c:numRef>
              <c:f>'Dashboard'!$C$10:$C$14</c:f>
              <c:numCache>
                <c:formatCode>$#,##0;[Red]($#,##0);-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Candidate Property Scores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Overall score</c:v>
          </c:tx>
          <c:cat>
            <c:strRef>
              <c:f>'Dashboard'!$A$23:$A$32</c:f>
              <c:strCache>
                <c:ptCount val="0"/>
              </c:strCache>
            </c:strRef>
          </c:cat>
          <c:val>
            <c:numRef>
              <c:f>'Dashboard'!$B$23:$B$32</c:f>
              <c:numCache>
                <c:formatCode>0.0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Projected Property Value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Series 1</c:v>
          </c:tx>
          <c:cat>
            <c:strRef>
              <c:f>'10Y Projection'!$A$4:$A$14</c:f>
              <c:strCache>
                <c:ptCount val="0"/>
              </c:strCache>
            </c:strRef>
          </c:cat>
          <c:val>
            <c:numRef>
              <c:f>'10Y Projection'!$B$4:$B$14</c:f>
              <c:numCache>
                <c:formatCode>$#,##0;[Red]($#,##0);-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Annual Cash Flow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Series 1</c:v>
          </c:tx>
          <c:cat>
            <c:strRef>
              <c:f>'10Y Projection'!$A$4:$A$14</c:f>
              <c:strCache>
                <c:ptCount val="0"/>
              </c:strCache>
            </c:strRef>
          </c:cat>
          <c:val>
            <c:numRef>
              <c:f>'10Y Projection'!$B$4:$B$14</c:f>
              <c:numCache>
                <c:formatCode>$#,##0;[Red]($#,##0);-</c:formatCode>
                <c:ptCount val="0"/>
              </c:numCache>
            </c:numRef>
          </c:val>
          <c:smooth val="0"/>
        </c:ser>
        <c:ser>
          <c:idx val="1"/>
          <c:order val="1"/>
          <c:tx>
            <c:v>Series 2</c:v>
          </c:tx>
          <c:cat>
            <c:strRef>
              <c:f>'10Y Projection'!$A$4:$A$14</c:f>
              <c:strCache>
                <c:ptCount val="0"/>
              </c:strCache>
            </c:strRef>
          </c:cat>
          <c:val>
            <c:numRef>
              <c:f>'10Y Projection'!$C$4:$C$14</c:f>
              <c:numCache>
                <c:formatCode>$#,##0;[Red]($#,##0);-</c:formatCode>
                <c:ptCount val="0"/>
              </c:numCache>
            </c:numRef>
          </c:val>
          <c:smooth val="0"/>
        </c:ser>
        <c:ser>
          <c:idx val="2"/>
          <c:order val="2"/>
          <c:tx>
            <c:v>Series 3</c:v>
          </c:tx>
          <c:cat>
            <c:strRef>
              <c:f>'10Y Projection'!$A$4:$A$14</c:f>
              <c:strCache>
                <c:ptCount val="0"/>
              </c:strCache>
            </c:strRef>
          </c:cat>
          <c:val>
            <c:numRef>
              <c:f>'10Y Projection'!$D$4:$D$14</c:f>
              <c:numCache>
                <c:formatCode>$#,##0;[Red]($#,##0);-</c:formatCode>
                <c:ptCount val="0"/>
              </c:numCache>
            </c:numRef>
          </c:val>
          <c:smooth val="0"/>
        </c:ser>
        <c:ser>
          <c:idx val="3"/>
          <c:order val="3"/>
          <c:tx>
            <c:v>Series 4</c:v>
          </c:tx>
          <c:cat>
            <c:strRef>
              <c:f>'10Y Projection'!$A$4:$A$14</c:f>
              <c:strCache>
                <c:ptCount val="0"/>
              </c:strCache>
            </c:strRef>
          </c:cat>
          <c:val>
            <c:numRef>
              <c:f>'10Y Projection'!$E$4:$E$14</c:f>
              <c:numCache>
                <c:formatCode>$#,##0;[Red]($#,##0);-</c:formatCode>
                <c:ptCount val="0"/>
              </c:numCache>
            </c:numRef>
          </c:val>
          <c:smooth val="0"/>
        </c:ser>
        <c:ser>
          <c:idx val="4"/>
          <c:order val="4"/>
          <c:tx>
            <c:v>Series 5</c:v>
          </c:tx>
          <c:cat>
            <c:strRef>
              <c:f>'10Y Projection'!$A$4:$A$14</c:f>
              <c:strCache>
                <c:ptCount val="0"/>
              </c:strCache>
            </c:strRef>
          </c:cat>
          <c:val>
            <c:numRef>
              <c:f>'10Y Projection'!$F$4:$F$14</c:f>
              <c:numCache>
                <c:formatCode>$#,##0;[Red]($#,##0);-</c:formatCode>
                <c:ptCount val="0"/>
              </c:numCache>
            </c:numRef>
          </c:val>
          <c:smooth val="0"/>
        </c:ser>
        <c:ser>
          <c:idx val="5"/>
          <c:order val="5"/>
          <c:tx>
            <c:v>Series 6</c:v>
          </c:tx>
          <c:cat>
            <c:strRef>
              <c:f>'10Y Projection'!$A$4:$A$14</c:f>
              <c:strCache>
                <c:ptCount val="0"/>
              </c:strCache>
            </c:strRef>
          </c:cat>
          <c:val>
            <c:numRef>
              <c:f>'10Y Projection'!$G$4:$G$14</c:f>
              <c:numCache>
                <c:formatCode>$#,##0;[Red]($#,##0);-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2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e6405ca863941d6"/>
        </a:graphicData>
      </a:graphic>
    </xdr:graphicFrame>
    <xdr:clientData/>
  </xdr:twoCellAnchor>
  <xdr:twoCellAnchor>
    <xdr:from>
      <xdr:col>4</xdr:col>
      <xdr:colOff>0</xdr:colOff>
      <xdr:row>20</xdr:row>
      <xdr:rowOff>0</xdr:rowOff>
    </xdr:from>
    <xdr:to>
      <xdr:col>12</xdr:col>
      <xdr:colOff>0</xdr:colOff>
      <xdr:row>38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913ed2051ab499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17</xdr:row>
      <xdr:rowOff>0</xdr:rowOff>
    </xdr:from>
    <xdr:to>
      <xdr:col>7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0fc3ceebd6049db"/>
        </a:graphicData>
      </a:graphic>
    </xdr:graphicFrame>
    <xdr:clientData/>
  </xdr:twoCellAnchor>
  <xdr:twoCellAnchor>
    <xdr:from>
      <xdr:col>7</xdr:col>
      <xdr:colOff>0</xdr:colOff>
      <xdr:row>17</xdr:row>
      <xdr:rowOff>0</xdr:rowOff>
    </xdr:from>
    <xdr:to>
      <xdr:col>14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ee1b67114984dc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3.xml.rels>&#65279;<?xml version="1.0" encoding="utf-8"?><Relationships xmlns="http://schemas.openxmlformats.org/package/2006/relationships"><Relationship Type="http://schemas.openxmlformats.org/officeDocument/2006/relationships/drawing" Target="/xl/drawings/drawing1.xml" Id="R45f43036e752455f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2.xml" Id="R86da8bf5f65e426b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5" hidden="0" customWidth="1"/>
  </x:cols>
  <x:sheetData>
    <x:row r="1" ht="28" customHeight="1">
      <x:c r="A1" s="5" t="str">
        <x:v>Upstate Airbnb + Wedding Venue Acquisition Model</x:v>
      </x:c>
      <x:c r="B1" s="5" t="str">
        <x:v>Upstate Airbnb + Wedding Venue Acquisition Model</x:v>
      </x:c>
      <x:c r="C1" s="5" t="str">
        <x:v>Upstate Airbnb + Wedding Venue Acquisition Model</x:v>
      </x:c>
      <x:c r="D1" s="5" t="str">
        <x:v>Upstate Airbnb + Wedding Venue Acquisition Model</x:v>
      </x:c>
      <x:c r="E1" s="5" t="str">
        <x:v>Upstate Airbnb + Wedding Venue Acquisition Model</x:v>
      </x:c>
      <x:c r="F1" s="5" t="str">
        <x:v>Upstate Airbnb + Wedding Venue Acquisition Model</x:v>
      </x:c>
      <x:c r="G1" s="5" t="str">
        <x:v>Upstate Airbnb + Wedding Venue Acquisition Model</x:v>
      </x:c>
      <x:c r="H1" s="5" t="str">
        <x:v>Upstate Airbnb + Wedding Venue Acquisition Model</x:v>
      </x:c>
      <x:c r="I1" s="5" t="str">
        <x:v>Upstate Airbnb + Wedding Venue Acquisition Model</x:v>
      </x:c>
      <x:c r="J1" s="5" t="str">
        <x:v>Upstate Airbnb + Wedding Venue Acquisition Model</x:v>
      </x:c>
    </x:row>
    <x:row r="3">
      <x:c r="A3" s="12" t="str">
        <x:v>Purpose</x:v>
      </x:c>
      <x:c r="B3" s="13" t="str">
        <x:v>Reusable underwriting model for comparing properties as personal-use homes, short-term rentals, and wedding/event venues.</x:v>
      </x:c>
      <x:c r="C3" s="13" t="str"/>
      <x:c r="D3" s="13" t="str"/>
      <x:c r="E3" s="13" t="str"/>
      <x:c r="F3" s="13" t="str"/>
      <x:c r="G3" s="13" t="str"/>
      <x:c r="H3" s="13" t="str"/>
      <x:c r="I3" s="13" t="str"/>
      <x:c r="J3" s="13" t="str"/>
    </x:row>
    <x:row r="4">
      <x:c r="A4" s="12" t="str">
        <x:v>How to use</x:v>
      </x:c>
      <x:c r="B4" s="13" t="str">
        <x:v>1) Update blue/yellow inputs. 2) Add candidate properties and market comparables. 3) Adjust weighting rules. 4) Review Dashboard ranking, cash needs, and 10-year returns.</x:v>
      </x:c>
      <x:c r="C4" s="13" t="str"/>
      <x:c r="D4" s="13" t="str"/>
      <x:c r="E4" s="13" t="str"/>
      <x:c r="F4" s="13" t="str"/>
      <x:c r="G4" s="13" t="str"/>
      <x:c r="H4" s="13" t="str"/>
      <x:c r="I4" s="13" t="str"/>
      <x:c r="J4" s="13" t="str"/>
    </x:row>
    <x:row r="5">
      <x:c r="A5" s="12" t="str">
        <x:v>Scenario A</x:v>
      </x:c>
      <x:c r="B5" s="13" t="str">
        <x:v>Second-home financing with meaningful personal use.</x:v>
      </x:c>
      <x:c r="C5" s="13" t="str"/>
      <x:c r="D5" s="13" t="str"/>
      <x:c r="E5" s="13" t="str"/>
      <x:c r="F5" s="13" t="str"/>
      <x:c r="G5" s="13" t="str"/>
      <x:c r="H5" s="13" t="str"/>
      <x:c r="I5" s="13" t="str"/>
      <x:c r="J5" s="13" t="str"/>
    </x:row>
    <x:row r="6">
      <x:c r="A6" s="12" t="str">
        <x:v>Scenario B</x:v>
      </x:c>
      <x:c r="B6" s="13" t="str">
        <x:v>Investment-property financing with stronger rental orientation.</x:v>
      </x:c>
      <x:c r="C6" s="13" t="str"/>
      <x:c r="D6" s="13" t="str"/>
      <x:c r="E6" s="13" t="str"/>
      <x:c r="F6" s="13" t="str"/>
      <x:c r="G6" s="13" t="str"/>
      <x:c r="H6" s="13" t="str"/>
      <x:c r="I6" s="13" t="str"/>
      <x:c r="J6" s="13" t="str"/>
    </x:row>
    <x:row r="7">
      <x:c r="A7" s="12" t="str">
        <x:v>Key principle</x:v>
      </x:c>
      <x:c r="B7" s="13" t="str">
        <x:v>The property must remain affordable under the stress case with zero Airbnb and wedding revenue.</x:v>
      </x:c>
      <x:c r="C7" s="13" t="str"/>
      <x:c r="D7" s="13" t="str"/>
      <x:c r="E7" s="13" t="str"/>
      <x:c r="F7" s="13" t="str"/>
      <x:c r="G7" s="13" t="str"/>
      <x:c r="H7" s="13" t="str"/>
      <x:c r="I7" s="13" t="str"/>
      <x:c r="J7" s="13" t="str"/>
    </x:row>
    <x:row r="8">
      <x:c r="A8" s="12" t="str">
        <x:v>Wedding strategy</x:v>
      </x:c>
      <x:c r="B8" s="13" t="str">
        <x:v>Wedding revenue is separated into venue rental, lodging, production/coordination, vendor commissions, and add-ons. Shtick-sourced leads are modeled separately.</x:v>
      </x:c>
      <x:c r="C8" s="13" t="str"/>
      <x:c r="D8" s="13" t="str"/>
      <x:c r="E8" s="13" t="str"/>
      <x:c r="F8" s="13" t="str"/>
      <x:c r="G8" s="13" t="str"/>
      <x:c r="H8" s="13" t="str"/>
      <x:c r="I8" s="13" t="str"/>
      <x:c r="J8" s="13" t="str"/>
    </x:row>
    <x:row r="9">
      <x:c r="A9" s="12" t="str">
        <x:v>Market ranking</x:v>
      </x:c>
      <x:c r="B9" s="13" t="str">
        <x:v>Properties are scored on NYC access, restaurant/hub proximity, legal STR/event status, guest capacity, visual appeal, infrastructure, market revenue, and financial return.</x:v>
      </x:c>
      <x:c r="C9" s="13" t="str"/>
      <x:c r="D9" s="13" t="str"/>
      <x:c r="E9" s="13" t="str"/>
      <x:c r="F9" s="13" t="str"/>
      <x:c r="G9" s="13" t="str"/>
      <x:c r="H9" s="13" t="str"/>
      <x:c r="I9" s="13" t="str"/>
      <x:c r="J9" s="13" t="str"/>
    </x:row>
    <x:row r="10">
      <x:c r="A10" s="12" t="str">
        <x:v>Input convention</x:v>
      </x:c>
      <x:c r="B10" s="13" t="str">
        <x:v>Blue text = editable assumptions. Yellow background = high-priority property-specific inputs. Black = formulas. Green = links from other sheets.</x:v>
      </x:c>
      <x:c r="C10" s="13" t="str"/>
      <x:c r="D10" s="13" t="str"/>
      <x:c r="E10" s="13" t="str"/>
      <x:c r="F10" s="13" t="str"/>
      <x:c r="G10" s="13" t="str"/>
      <x:c r="H10" s="13" t="str"/>
      <x:c r="I10" s="13" t="str"/>
      <x:c r="J10" s="13" t="str"/>
    </x:row>
    <x:row r="11">
      <x:c r="A11" s="12" t="str">
        <x:v>Tax note</x:v>
      </x:c>
      <x:c r="B11" s="13" t="str">
        <x:v>Tax calculations are illustrative planning estimates, not tax advice. Mixed personal/rental use and event operations require CPA review.</x:v>
      </x:c>
      <x:c r="C11" s="13" t="str"/>
      <x:c r="D11" s="13" t="str"/>
      <x:c r="E11" s="13" t="str"/>
      <x:c r="F11" s="13" t="str"/>
      <x:c r="G11" s="13" t="str"/>
      <x:c r="H11" s="13" t="str"/>
      <x:c r="I11" s="13" t="str"/>
      <x:c r="J11" s="13" t="str"/>
    </x:row>
    <x:row r="12">
      <x:c r="A12" s="12" t="str">
        <x:v>Hidden costs included</x:v>
      </x:c>
      <x:c r="B12" s="13" t="str">
        <x:v>Transfer/recording, title, lender fees, inspections, survey, permits, furnishings, technology, septic/well, snow, landscaping, insurance, utilities, management, turnover, local lodging taxes, reserves, replacement capex, and wedding-event operating costs.</x:v>
      </x:c>
      <x:c r="C12" s="13" t="str"/>
      <x:c r="D12" s="13" t="str"/>
      <x:c r="E12" s="13" t="str"/>
      <x:c r="F12" s="13" t="str"/>
      <x:c r="G12" s="13" t="str"/>
      <x:c r="H12" s="13" t="str"/>
      <x:c r="I12" s="13" t="str"/>
      <x:c r="J12" s="13" t="str"/>
    </x:row>
    <x:row r="13">
      <x:c r="A13" s="12" t="str">
        <x:v>Next step</x:v>
      </x:c>
      <x:c r="B13" s="13" t="str">
        <x:v>Create one row per candidate property in Property Ranking and populate the Market Comps / Wedding Comps sheets with verified local data.</x:v>
      </x:c>
      <x:c r="C13" s="13" t="str"/>
      <x:c r="D13" s="13" t="str"/>
      <x:c r="E13" s="13" t="str"/>
      <x:c r="F13" s="13" t="str"/>
      <x:c r="G13" s="13" t="str"/>
      <x:c r="H13" s="13" t="str"/>
      <x:c r="I13" s="13" t="str"/>
      <x:c r="J13" s="13" t="str"/>
    </x:row>
    <x:row r="14">
      <x:c r="A14" s="12" t="str">
        <x:v>Default assumptions</x:v>
      </x:c>
      <x:c r="B14" s="13" t="str">
        <x:v>$500,000 purchase price and $150,000 renovation budget are preloaded. All market and wedding revenue assumptions are illustrative until replaced with actual comparable data.</x:v>
      </x:c>
      <x:c r="C14" s="13" t="str"/>
      <x:c r="D14" s="13" t="str"/>
      <x:c r="E14" s="13" t="str"/>
      <x:c r="F14" s="13" t="str"/>
      <x:c r="G14" s="13" t="str"/>
      <x:c r="H14" s="13" t="str"/>
      <x:c r="I14" s="13" t="str"/>
      <x:c r="J14" s="13" t="str"/>
    </x:row>
    <x:row r="15">
      <x:c r="A15" s="12" t="str"/>
      <x:c r="B15" s="13" t="str"/>
      <x:c r="C15" s="13" t="str"/>
      <x:c r="D15" s="13" t="str"/>
      <x:c r="E15" s="13" t="str"/>
      <x:c r="F15" s="13" t="str"/>
      <x:c r="G15" s="13" t="str"/>
      <x:c r="H15" s="13" t="str"/>
      <x:c r="I15" s="13" t="str"/>
      <x:c r="J15" s="13" t="str"/>
    </x:row>
    <x:row r="16">
      <x:c r="A16" s="12" t="str">
        <x:v>Workbook date</x:v>
      </x:c>
      <x:c r="B16" s="13" t="str">
        <x:v>2026-07-18</x:v>
      </x:c>
      <x:c r="C16" s="13" t="str"/>
      <x:c r="D16" s="13" t="str"/>
      <x:c r="E16" s="13" t="str"/>
      <x:c r="F16" s="13" t="str"/>
      <x:c r="G16" s="13" t="str"/>
      <x:c r="H16" s="13" t="str"/>
      <x:c r="I16" s="13" t="str"/>
      <x:c r="J16" s="13" t="str"/>
    </x:row>
  </x:sheetData>
  <x:mergeCells>
    <x:mergeCell ref="A1:J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2" hidden="0" customWidth="1"/>
    <x:col min="3" max="3" width="22" hidden="0" customWidth="1"/>
    <x:col min="4" max="4" width="28" hidden="0" customWidth="1"/>
  </x:cols>
  <x:sheetData>
    <x:row r="1" ht="28" customHeight="1">
      <x:c r="A1" s="5" t="str">
        <x:v>Core Assumptions</x:v>
      </x:c>
      <x:c r="B1" s="5" t="str">
        <x:v>Core Assumptions</x:v>
      </x:c>
      <x:c r="C1" s="5" t="str">
        <x:v>Core Assumptions</x:v>
      </x:c>
      <x:c r="D1" s="5" t="str">
        <x:v>Core Assumptions</x:v>
      </x:c>
      <x:c r="E1" s="5" t="str">
        <x:v>Core Assumptions</x:v>
      </x:c>
      <x:c r="F1" s="5" t="str">
        <x:v>Core Assumptions</x:v>
      </x:c>
      <x:c r="G1" s="5" t="str">
        <x:v>Core Assumptions</x:v>
      </x:c>
      <x:c r="H1" s="5" t="str">
        <x:v>Core Assumptions</x:v>
      </x:c>
    </x:row>
    <x:row r="3">
      <x:c r="A3" s="17" t="str">
        <x:v>Property &amp; Financing</x:v>
      </x:c>
      <x:c r="B3" s="17" t="str">
        <x:v>Property &amp; Financing</x:v>
      </x:c>
      <x:c r="C3" s="17" t="str">
        <x:v>Property &amp; Financing</x:v>
      </x:c>
      <x:c r="D3" s="17" t="str">
        <x:v>Property &amp; Financing</x:v>
      </x:c>
      <x:c r="E3" s="17" t="str">
        <x:v>Property &amp; Financing</x:v>
      </x:c>
      <x:c r="F3" s="17" t="str">
        <x:v>Property &amp; Financing</x:v>
      </x:c>
      <x:c r="G3" s="17" t="str">
        <x:v>Property &amp; Financing</x:v>
      </x:c>
      <x:c r="H3" s="17" t="str">
        <x:v>Property &amp; Financing</x:v>
      </x:c>
    </x:row>
    <x:row r="4">
      <x:c r="A4" s="22" t="str">
        <x:v>Input</x:v>
      </x:c>
      <x:c r="B4" s="22" t="str">
        <x:v>Scenario A: Second Home</x:v>
      </x:c>
      <x:c r="C4" s="22" t="str">
        <x:v>Scenario B: Investment</x:v>
      </x:c>
      <x:c r="D4" s="22" t="str">
        <x:v>Units / Notes</x:v>
      </x:c>
    </x:row>
    <x:row r="5">
      <x:c r="A5" t="str">
        <x:v>Purchase price</x:v>
      </x:c>
      <x:c r="B5" s="30" t="n">
        <x:v>500000</x:v>
      </x:c>
      <x:c r="C5" s="30" t="n">
        <x:v>500000</x:v>
      </x:c>
      <x:c r="D5" t="str">
        <x:v>$</x:v>
      </x:c>
    </x:row>
    <x:row r="6">
      <x:c r="A6" t="str">
        <x:v>Renovation budget</x:v>
      </x:c>
      <x:c r="B6" s="30" t="n">
        <x:v>150000</x:v>
      </x:c>
      <x:c r="C6" s="30" t="n">
        <x:v>150000</x:v>
      </x:c>
      <x:c r="D6" t="str">
        <x:v>$</x:v>
      </x:c>
    </x:row>
    <x:row r="7">
      <x:c r="A7" t="str">
        <x:v>Renovation contingency</x:v>
      </x:c>
      <x:c r="B7" s="32" t="n">
        <x:v>0.15</x:v>
      </x:c>
      <x:c r="C7" s="32" t="n">
        <x:v>0.15</x:v>
      </x:c>
      <x:c r="D7" t="str">
        <x:v>% of renovation</x:v>
      </x:c>
    </x:row>
    <x:row r="8">
      <x:c r="A8" t="str">
        <x:v>Furniture / design / setup</x:v>
      </x:c>
      <x:c r="B8" s="30" t="n">
        <x:v>35000</x:v>
      </x:c>
      <x:c r="C8" s="30" t="n">
        <x:v>35000</x:v>
      </x:c>
      <x:c r="D8" t="str">
        <x:v>$</x:v>
      </x:c>
    </x:row>
    <x:row r="9">
      <x:c r="A9" t="str">
        <x:v>Down payment</x:v>
      </x:c>
      <x:c r="B9" s="32" t="n">
        <x:v>0.2</x:v>
      </x:c>
      <x:c r="C9" s="32" t="n">
        <x:v>0.25</x:v>
      </x:c>
      <x:c r="D9" t="str">
        <x:v>%</x:v>
      </x:c>
    </x:row>
    <x:row r="10">
      <x:c r="A10" t="str">
        <x:v>Mortgage rate</x:v>
      </x:c>
      <x:c r="B10" s="32" t="n">
        <x:v>0.0675</x:v>
      </x:c>
      <x:c r="C10" s="32" t="n">
        <x:v>0.0725</x:v>
      </x:c>
      <x:c r="D10" t="str">
        <x:v>% illustrative</x:v>
      </x:c>
    </x:row>
    <x:row r="11">
      <x:c r="A11" t="str">
        <x:v>Loan term</x:v>
      </x:c>
      <x:c r="B11" s="34" t="n">
        <x:v>30</x:v>
      </x:c>
      <x:c r="C11" s="34" t="n">
        <x:v>30</x:v>
      </x:c>
      <x:c r="D11" t="str">
        <x:v>years</x:v>
      </x:c>
    </x:row>
    <x:row r="12">
      <x:c r="A12" t="str">
        <x:v>Closing cost %</x:v>
      </x:c>
      <x:c r="B12" s="32" t="n">
        <x:v>0.04</x:v>
      </x:c>
      <x:c r="C12" s="32" t="n">
        <x:v>0.04</x:v>
      </x:c>
      <x:c r="D12" t="str">
        <x:v>% purchase</x:v>
      </x:c>
    </x:row>
    <x:row r="13">
      <x:c r="A13" t="str">
        <x:v>Lender points / fees</x:v>
      </x:c>
      <x:c r="B13" s="30" t="n">
        <x:v>0.01</x:v>
      </x:c>
      <x:c r="C13" s="30" t="n">
        <x:v>0.015</x:v>
      </x:c>
      <x:c r="D13" t="str">
        <x:v>% of loan</x:v>
      </x:c>
    </x:row>
    <x:row r="14">
      <x:c r="A14" t="str">
        <x:v>Property tax</x:v>
      </x:c>
      <x:c r="B14" s="30" t="n">
        <x:v>9000</x:v>
      </x:c>
      <x:c r="C14" s="30" t="n">
        <x:v>9000</x:v>
      </x:c>
      <x:c r="D14" t="str">
        <x:v>$ / year</x:v>
      </x:c>
    </x:row>
    <x:row r="15">
      <x:c r="A15" t="str">
        <x:v>Home / STR insurance</x:v>
      </x:c>
      <x:c r="B15" s="30" t="n">
        <x:v>5000</x:v>
      </x:c>
      <x:c r="C15" s="30" t="n">
        <x:v>6500</x:v>
      </x:c>
      <x:c r="D15" t="str">
        <x:v>$ / year</x:v>
      </x:c>
    </x:row>
    <x:row r="16">
      <x:c r="A16" t="str">
        <x:v>Initial operating reserve</x:v>
      </x:c>
      <x:c r="B16" s="30" t="n">
        <x:v>30000</x:v>
      </x:c>
      <x:c r="C16" s="30" t="n">
        <x:v>40000</x:v>
      </x:c>
      <x:c r="D16" t="str">
        <x:v>$</x:v>
      </x:c>
    </x:row>
    <x:row r="17">
      <x:c r="A17" t="str">
        <x:v>Personal-use days</x:v>
      </x:c>
      <x:c r="B17" s="34" t="n">
        <x:v>90</x:v>
      </x:c>
      <x:c r="C17" s="34" t="n">
        <x:v>14</x:v>
      </x:c>
      <x:c r="D17" t="str">
        <x:v>days / year</x:v>
      </x:c>
    </x:row>
    <x:row r="18">
      <x:c r="A18" t="str">
        <x:v>Available rental days</x:v>
      </x:c>
      <x:c r="B18" s="34" t="n">
        <x:v>230</x:v>
      </x:c>
      <x:c r="C18" s="34" t="n">
        <x:v>320</x:v>
      </x:c>
      <x:c r="D18" t="str">
        <x:v>days / year</x:v>
      </x:c>
    </x:row>
    <x:row r="20">
      <x:c r="A20" s="17" t="str">
        <x:v>Airbnb / Lodging Assumptions</x:v>
      </x:c>
      <x:c r="B20" s="17" t="str">
        <x:v>Airbnb / Lodging Assumptions</x:v>
      </x:c>
      <x:c r="C20" s="17" t="str">
        <x:v>Airbnb / Lodging Assumptions</x:v>
      </x:c>
      <x:c r="D20" s="17" t="str">
        <x:v>Airbnb / Lodging Assumptions</x:v>
      </x:c>
      <x:c r="E20" s="17" t="str">
        <x:v>Airbnb / Lodging Assumptions</x:v>
      </x:c>
      <x:c r="F20" s="17" t="str">
        <x:v>Airbnb / Lodging Assumptions</x:v>
      </x:c>
      <x:c r="G20" s="17" t="str">
        <x:v>Airbnb / Lodging Assumptions</x:v>
      </x:c>
      <x:c r="H20" s="17" t="str">
        <x:v>Airbnb / Lodging Assumptions</x:v>
      </x:c>
    </x:row>
    <x:row r="21">
      <x:c r="A21" s="22" t="str">
        <x:v>Input</x:v>
      </x:c>
      <x:c r="B21" s="22" t="str">
        <x:v>Scenario A</x:v>
      </x:c>
      <x:c r="C21" s="22" t="str">
        <x:v>Scenario B</x:v>
      </x:c>
      <x:c r="D21" s="22" t="str">
        <x:v>Units / Notes</x:v>
      </x:c>
    </x:row>
    <x:row r="22">
      <x:c r="A22" t="str">
        <x:v>Average nightly rate</x:v>
      </x:c>
      <x:c r="B22" s="30" t="n">
        <x:v>425</x:v>
      </x:c>
      <x:c r="C22" s="30" t="n">
        <x:v>425</x:v>
      </x:c>
      <x:c r="D22" t="str">
        <x:v>$</x:v>
      </x:c>
    </x:row>
    <x:row r="23">
      <x:c r="A23" t="str">
        <x:v>Occupancy on available days</x:v>
      </x:c>
      <x:c r="B23" s="32" t="n">
        <x:v>0.5</x:v>
      </x:c>
      <x:c r="C23" s="32" t="n">
        <x:v>0.58</x:v>
      </x:c>
      <x:c r="D23" t="str">
        <x:v>%</x:v>
      </x:c>
    </x:row>
    <x:row r="24">
      <x:c r="A24" t="str">
        <x:v>Average stay</x:v>
      </x:c>
      <x:c r="B24" s="34" t="n">
        <x:v>3</x:v>
      </x:c>
      <x:c r="C24" s="34" t="n">
        <x:v>3</x:v>
      </x:c>
      <x:c r="D24" t="str">
        <x:v>nights</x:v>
      </x:c>
    </x:row>
    <x:row r="25">
      <x:c r="A25" t="str">
        <x:v>Cleaning fee charged</x:v>
      </x:c>
      <x:c r="B25" s="30" t="n">
        <x:v>225</x:v>
      </x:c>
      <x:c r="C25" s="30" t="n">
        <x:v>225</x:v>
      </x:c>
      <x:c r="D25" t="str">
        <x:v>$ / stay</x:v>
      </x:c>
    </x:row>
    <x:row r="26">
      <x:c r="A26" t="str">
        <x:v>Host platform fee</x:v>
      </x:c>
      <x:c r="B26" s="32" t="n">
        <x:v>0.03</x:v>
      </x:c>
      <x:c r="C26" s="32" t="n">
        <x:v>0.155</x:v>
      </x:c>
      <x:c r="D26" t="str">
        <x:v>% of lodging revenue</x:v>
      </x:c>
    </x:row>
    <x:row r="27">
      <x:c r="A27" t="str">
        <x:v>Property management fee</x:v>
      </x:c>
      <x:c r="B27" s="32" t="n">
        <x:v>0</x:v>
      </x:c>
      <x:c r="C27" s="32" t="n">
        <x:v>0.18</x:v>
      </x:c>
      <x:c r="D27" t="str">
        <x:v>% gross revenue</x:v>
      </x:c>
    </x:row>
    <x:row r="28">
      <x:c r="A28" t="str">
        <x:v>Direct booking share</x:v>
      </x:c>
      <x:c r="B28" s="32" t="n">
        <x:v>0.15</x:v>
      </x:c>
      <x:c r="C28" s="32" t="n">
        <x:v>0.2</x:v>
      </x:c>
      <x:c r="D28" t="str">
        <x:v>% bookings</x:v>
      </x:c>
    </x:row>
    <x:row r="29">
      <x:c r="A29" t="str">
        <x:v>Cancellation / leakage</x:v>
      </x:c>
      <x:c r="B29" s="32" t="n">
        <x:v>0.03</x:v>
      </x:c>
      <x:c r="C29" s="32" t="n">
        <x:v>0.03</x:v>
      </x:c>
      <x:c r="D29" t="str">
        <x:v>% revenue</x:v>
      </x:c>
    </x:row>
    <x:row r="30">
      <x:c r="A30" t="str">
        <x:v>Annual ADR growth</x:v>
      </x:c>
      <x:c r="B30" s="32" t="n">
        <x:v>0.03</x:v>
      </x:c>
      <x:c r="C30" s="32" t="n">
        <x:v>0.03</x:v>
      </x:c>
      <x:c r="D30" t="str">
        <x:v>%</x:v>
      </x:c>
    </x:row>
    <x:row r="31">
      <x:c r="A31" t="str">
        <x:v>Annual occupancy change</x:v>
      </x:c>
      <x:c r="B31" s="32" t="n">
        <x:v>0</x:v>
      </x:c>
      <x:c r="C31" s="32" t="n">
        <x:v>0</x:v>
      </x:c>
      <x:c r="D31" t="str">
        <x:v>% points</x:v>
      </x:c>
    </x:row>
    <x:row r="33">
      <x:c r="A33" s="17" t="str">
        <x:v>Wedding / Event Revenue Assumptions</x:v>
      </x:c>
      <x:c r="B33" s="17" t="str">
        <x:v>Wedding / Event Revenue Assumptions</x:v>
      </x:c>
      <x:c r="C33" s="17" t="str">
        <x:v>Wedding / Event Revenue Assumptions</x:v>
      </x:c>
      <x:c r="D33" s="17" t="str">
        <x:v>Wedding / Event Revenue Assumptions</x:v>
      </x:c>
      <x:c r="E33" s="17" t="str">
        <x:v>Wedding / Event Revenue Assumptions</x:v>
      </x:c>
      <x:c r="F33" s="17" t="str">
        <x:v>Wedding / Event Revenue Assumptions</x:v>
      </x:c>
      <x:c r="G33" s="17" t="str">
        <x:v>Wedding / Event Revenue Assumptions</x:v>
      </x:c>
      <x:c r="H33" s="17" t="str">
        <x:v>Wedding / Event Revenue Assumptions</x:v>
      </x:c>
    </x:row>
    <x:row r="34">
      <x:c r="A34" s="22" t="str">
        <x:v>Input</x:v>
      </x:c>
      <x:c r="B34" s="22" t="str">
        <x:v>Scenario A</x:v>
      </x:c>
      <x:c r="C34" s="22" t="str">
        <x:v>Scenario B</x:v>
      </x:c>
      <x:c r="D34" s="22" t="str">
        <x:v>Units / Notes</x:v>
      </x:c>
    </x:row>
    <x:row r="35">
      <x:c r="A35" t="str">
        <x:v>Wedding venue rental fee</x:v>
      </x:c>
      <x:c r="B35" s="30" t="n">
        <x:v>12000</x:v>
      </x:c>
      <x:c r="C35" s="30" t="n">
        <x:v>12000</x:v>
      </x:c>
      <x:c r="D35" t="str">
        <x:v>$ / event</x:v>
      </x:c>
    </x:row>
    <x:row r="36">
      <x:c r="A36" t="str">
        <x:v>Shtick production / coordination revenue</x:v>
      </x:c>
      <x:c r="B36" s="30" t="n">
        <x:v>18000</x:v>
      </x:c>
      <x:c r="C36" s="30" t="n">
        <x:v>18000</x:v>
      </x:c>
      <x:c r="D36" t="str">
        <x:v>$ / Shtick event</x:v>
      </x:c>
    </x:row>
    <x:row r="37">
      <x:c r="A37" t="str">
        <x:v>Other event production revenue</x:v>
      </x:c>
      <x:c r="B37" s="30" t="n">
        <x:v>7500</x:v>
      </x:c>
      <x:c r="C37" s="30" t="n">
        <x:v>7500</x:v>
      </x:c>
      <x:c r="D37" t="str">
        <x:v>$ / non-Shtick event</x:v>
      </x:c>
    </x:row>
    <x:row r="38">
      <x:c r="A38" t="str">
        <x:v>Average lodging buyout revenue</x:v>
      </x:c>
      <x:c r="B38" s="30" t="n">
        <x:v>6500</x:v>
      </x:c>
      <x:c r="C38" s="30" t="n">
        <x:v>6500</x:v>
      </x:c>
      <x:c r="D38" t="str">
        <x:v>$ / wedding</x:v>
      </x:c>
    </x:row>
    <x:row r="39">
      <x:c r="A39" t="str">
        <x:v>Add-ons / vendor commissions</x:v>
      </x:c>
      <x:c r="B39" s="30" t="n">
        <x:v>2500</x:v>
      </x:c>
      <x:c r="C39" s="30" t="n">
        <x:v>2500</x:v>
      </x:c>
      <x:c r="D39" t="str">
        <x:v>$ / wedding</x:v>
      </x:c>
    </x:row>
    <x:row r="40">
      <x:c r="A40" t="str">
        <x:v>Shtick-sourced weddings</x:v>
      </x:c>
      <x:c r="B40" s="34" t="n">
        <x:v>4</x:v>
      </x:c>
      <x:c r="C40" s="34" t="n">
        <x:v>5</x:v>
      </x:c>
      <x:c r="D40" t="str">
        <x:v>events / year</x:v>
      </x:c>
    </x:row>
    <x:row r="41">
      <x:c r="A41" t="str">
        <x:v>Other weddings</x:v>
      </x:c>
      <x:c r="B41" s="34" t="n">
        <x:v>2</x:v>
      </x:c>
      <x:c r="C41" s="34" t="n">
        <x:v>3</x:v>
      </x:c>
      <x:c r="D41" t="str">
        <x:v>events / year</x:v>
      </x:c>
    </x:row>
    <x:row r="42">
      <x:c r="A42" t="str">
        <x:v>Other private events</x:v>
      </x:c>
      <x:c r="B42" s="34" t="n">
        <x:v>4</x:v>
      </x:c>
      <x:c r="C42" s="34" t="n">
        <x:v>5</x:v>
      </x:c>
      <x:c r="D42" t="str">
        <x:v>events / year</x:v>
      </x:c>
    </x:row>
    <x:row r="43">
      <x:c r="A43" t="str">
        <x:v>Wedding/event direct cost</x:v>
      </x:c>
      <x:c r="B43" s="32" t="n">
        <x:v>0.38</x:v>
      </x:c>
      <x:c r="C43" s="32" t="n">
        <x:v>0.38</x:v>
      </x:c>
      <x:c r="D43" t="str">
        <x:v>% event revenue</x:v>
      </x:c>
    </x:row>
    <x:row r="44">
      <x:c r="A44" t="str">
        <x:v>Additional event insurance / permits</x:v>
      </x:c>
      <x:c r="B44" s="30" t="n">
        <x:v>5000</x:v>
      </x:c>
      <x:c r="C44" s="30" t="n">
        <x:v>6000</x:v>
      </x:c>
      <x:c r="D44" t="str">
        <x:v>$ / year</x:v>
      </x:c>
    </x:row>
    <x:row r="45">
      <x:c r="A45" t="str">
        <x:v>Noise / shuttle / security cost</x:v>
      </x:c>
      <x:c r="B45" s="30" t="n">
        <x:v>2500</x:v>
      </x:c>
      <x:c r="C45" s="30" t="n">
        <x:v>3000</x:v>
      </x:c>
      <x:c r="D45" t="str">
        <x:v>$ / event</x:v>
      </x:c>
    </x:row>
    <x:row r="46">
      <x:c r="A46" t="str">
        <x:v>Annual wedding rate growth</x:v>
      </x:c>
      <x:c r="B46" s="32" t="n">
        <x:v>0.03</x:v>
      </x:c>
      <x:c r="C46" s="32" t="n">
        <x:v>0.03</x:v>
      </x:c>
      <x:c r="D46" t="str">
        <x:v>%</x:v>
      </x:c>
    </x:row>
    <x:row r="48">
      <x:c r="A48" s="17" t="str">
        <x:v>Operating Cost &amp; Growth Assumptions</x:v>
      </x:c>
      <x:c r="B48" s="17" t="str">
        <x:v>Operating Cost &amp; Growth Assumptions</x:v>
      </x:c>
      <x:c r="C48" s="17" t="str">
        <x:v>Operating Cost &amp; Growth Assumptions</x:v>
      </x:c>
      <x:c r="D48" s="17" t="str">
        <x:v>Operating Cost &amp; Growth Assumptions</x:v>
      </x:c>
      <x:c r="E48" s="17" t="str">
        <x:v>Operating Cost &amp; Growth Assumptions</x:v>
      </x:c>
      <x:c r="F48" s="17" t="str">
        <x:v>Operating Cost &amp; Growth Assumptions</x:v>
      </x:c>
      <x:c r="G48" s="17" t="str">
        <x:v>Operating Cost &amp; Growth Assumptions</x:v>
      </x:c>
      <x:c r="H48" s="17" t="str">
        <x:v>Operating Cost &amp; Growth Assumptions</x:v>
      </x:c>
    </x:row>
    <x:row r="49">
      <x:c r="A49" s="22" t="str">
        <x:v>Input</x:v>
      </x:c>
      <x:c r="B49" s="22" t="str">
        <x:v>Scenario A</x:v>
      </x:c>
      <x:c r="C49" s="22" t="str">
        <x:v>Scenario B</x:v>
      </x:c>
      <x:c r="D49" s="22" t="str">
        <x:v>Units / Notes</x:v>
      </x:c>
    </x:row>
    <x:row r="50">
      <x:c r="A50" t="str">
        <x:v>Utilities</x:v>
      </x:c>
      <x:c r="B50" s="30" t="n">
        <x:v>7200</x:v>
      </x:c>
      <x:c r="C50" s="30" t="n">
        <x:v>7200</x:v>
      </x:c>
      <x:c r="D50" t="str">
        <x:v>$ / year</x:v>
      </x:c>
    </x:row>
    <x:row r="51">
      <x:c r="A51" t="str">
        <x:v>Internet / software / monitoring</x:v>
      </x:c>
      <x:c r="B51" s="30" t="n">
        <x:v>2400</x:v>
      </x:c>
      <x:c r="C51" s="30" t="n">
        <x:v>2400</x:v>
      </x:c>
      <x:c r="D51" t="str">
        <x:v>$ / year</x:v>
      </x:c>
    </x:row>
    <x:row r="52">
      <x:c r="A52" t="str">
        <x:v>Cleaning turnover cost</x:v>
      </x:c>
      <x:c r="B52" s="30" t="n">
        <x:v>260</x:v>
      </x:c>
      <x:c r="C52" s="30" t="n">
        <x:v>260</x:v>
      </x:c>
      <x:c r="D52" t="str">
        <x:v>$ / stay</x:v>
      </x:c>
    </x:row>
    <x:row r="53">
      <x:c r="A53" t="str">
        <x:v>Maintenance reserve</x:v>
      </x:c>
      <x:c r="B53" s="32" t="n">
        <x:v>0.015</x:v>
      </x:c>
      <x:c r="C53" s="32" t="n">
        <x:v>0.015</x:v>
      </x:c>
      <x:c r="D53" t="str">
        <x:v>% property + renovation</x:v>
      </x:c>
    </x:row>
    <x:row r="54">
      <x:c r="A54" t="str">
        <x:v>Capital replacement reserve</x:v>
      </x:c>
      <x:c r="B54" s="32" t="n">
        <x:v>0.01</x:v>
      </x:c>
      <x:c r="C54" s="32" t="n">
        <x:v>0.01</x:v>
      </x:c>
      <x:c r="D54" t="str">
        <x:v>% property + renovation</x:v>
      </x:c>
    </x:row>
    <x:row r="55">
      <x:c r="A55" t="str">
        <x:v>Snow / landscaping / pest</x:v>
      </x:c>
      <x:c r="B55" s="30" t="n">
        <x:v>6000</x:v>
      </x:c>
      <x:c r="C55" s="30" t="n">
        <x:v>6000</x:v>
      </x:c>
      <x:c r="D55" t="str">
        <x:v>$ / year</x:v>
      </x:c>
    </x:row>
    <x:row r="56">
      <x:c r="A56" t="str">
        <x:v>Septic / well / generator reserve</x:v>
      </x:c>
      <x:c r="B56" s="30" t="n">
        <x:v>3500</x:v>
      </x:c>
      <x:c r="C56" s="30" t="n">
        <x:v>3500</x:v>
      </x:c>
      <x:c r="D56" t="str">
        <x:v>$ / year</x:v>
      </x:c>
    </x:row>
    <x:row r="57">
      <x:c r="A57" t="str">
        <x:v>Accounting / bookkeeping</x:v>
      </x:c>
      <x:c r="B57" s="30" t="n">
        <x:v>4500</x:v>
      </x:c>
      <x:c r="C57" s="30" t="n">
        <x:v>5500</x:v>
      </x:c>
      <x:c r="D57" t="str">
        <x:v>$ / year</x:v>
      </x:c>
    </x:row>
    <x:row r="58">
      <x:c r="A58" t="str">
        <x:v>STR permit / inspection / lodging fees</x:v>
      </x:c>
      <x:c r="B58" s="30" t="n">
        <x:v>2500</x:v>
      </x:c>
      <x:c r="C58" s="30" t="n">
        <x:v>3000</x:v>
      </x:c>
      <x:c r="D58" t="str">
        <x:v>$ / year</x:v>
      </x:c>
    </x:row>
    <x:row r="59">
      <x:c r="A59" t="str">
        <x:v>Annual operating expense inflation</x:v>
      </x:c>
      <x:c r="B59" s="32" t="n">
        <x:v>0.03</x:v>
      </x:c>
      <x:c r="C59" s="32" t="n">
        <x:v>0.03</x:v>
      </x:c>
      <x:c r="D59" t="str">
        <x:v>%</x:v>
      </x:c>
    </x:row>
    <x:row r="60">
      <x:c r="A60" t="str">
        <x:v>Annual property appreciation</x:v>
      </x:c>
      <x:c r="B60" s="32" t="n">
        <x:v>0.03</x:v>
      </x:c>
      <x:c r="C60" s="32" t="n">
        <x:v>0.03</x:v>
      </x:c>
      <x:c r="D60" t="str">
        <x:v>%</x:v>
      </x:c>
    </x:row>
    <x:row r="61">
      <x:c r="A61" t="str">
        <x:v>Selling cost</x:v>
      </x:c>
      <x:c r="B61" s="32" t="n">
        <x:v>0.07</x:v>
      </x:c>
      <x:c r="C61" s="32" t="n">
        <x:v>0.07</x:v>
      </x:c>
      <x:c r="D61" t="str">
        <x:v>% sale price</x:v>
      </x:c>
    </x:row>
    <x:row r="62">
      <x:c r="A62" t="str">
        <x:v>Tax rate on deductible losses / income</x:v>
      </x:c>
      <x:c r="B62" s="32" t="n">
        <x:v>0.4</x:v>
      </x:c>
      <x:c r="C62" s="32" t="n">
        <x:v>0.4</x:v>
      </x:c>
      <x:c r="D62" t="str">
        <x:v>% planning only</x:v>
      </x:c>
    </x:row>
    <x:row r="63">
      <x:c r="A63" t="str">
        <x:v>Building allocation (ex land)</x:v>
      </x:c>
      <x:c r="B63" s="32" t="n">
        <x:v>0.8</x:v>
      </x:c>
      <x:c r="C63" s="32" t="n">
        <x:v>0.8</x:v>
      </x:c>
      <x:c r="D63" t="str">
        <x:v>% purchase</x:v>
      </x:c>
    </x:row>
    <x:row r="64">
      <x:c r="A64" t="str">
        <x:v>Cost segregation short-life allocation</x:v>
      </x:c>
      <x:c r="B64" s="32" t="n">
        <x:v>0.2</x:v>
      </x:c>
      <x:c r="C64" s="32" t="n">
        <x:v>0.2</x:v>
      </x:c>
      <x:c r="D64" t="str">
        <x:v>% eligible basis</x:v>
      </x:c>
    </x:row>
  </x:sheetData>
  <x:mergeCells>
    <x:mergeCell ref="A1:H1"/>
    <x:mergeCell ref="A3:H3"/>
    <x:mergeCell ref="A20:H20"/>
    <x:mergeCell ref="A33:H33"/>
    <x:mergeCell ref="A48:H48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18" hidden="0" customWidth="1"/>
    <x:col min="4" max="4" width="24" hidden="0" customWidth="1"/>
    <x:col min="5" max="5" width="15" hidden="0" customWidth="1"/>
    <x:col min="6" max="6" width="40" hidden="0" customWidth="1"/>
  </x:cols>
  <x:sheetData>
    <x:row r="1" ht="28" customHeight="1">
      <x:c r="A1" s="5" t="str">
        <x:v>Sources &amp; Uses / Upfront Cash</x:v>
      </x:c>
      <x:c r="B1" s="5" t="str">
        <x:v>Sources &amp; Uses / Upfront Cash</x:v>
      </x:c>
      <x:c r="C1" s="5" t="str">
        <x:v>Sources &amp; Uses / Upfront Cash</x:v>
      </x:c>
      <x:c r="D1" s="5" t="str">
        <x:v>Sources &amp; Uses / Upfront Cash</x:v>
      </x:c>
      <x:c r="E1" s="5" t="str">
        <x:v>Sources &amp; Uses / Upfront Cash</x:v>
      </x:c>
      <x:c r="F1" s="5" t="str">
        <x:v>Sources &amp; Uses / Upfront Cash</x:v>
      </x:c>
    </x:row>
    <x:row r="3">
      <x:c r="A3" s="22" t="str">
        <x:v>Line item</x:v>
      </x:c>
      <x:c r="B3" s="22" t="str">
        <x:v>Scenario A</x:v>
      </x:c>
      <x:c r="C3" s="22" t="str">
        <x:v>Scenario B</x:v>
      </x:c>
      <x:c r="D3" s="22" t="str">
        <x:v>Formula / Basis</x:v>
      </x:c>
      <x:c r="E3" s="22" t="str">
        <x:v>Hidden-cost flag</x:v>
      </x:c>
      <x:c r="F3" s="22" t="str">
        <x:v>Notes</x:v>
      </x:c>
    </x:row>
    <x:row r="4">
      <x:c r="A4" t="str">
        <x:v>Purchase price</x:v>
      </x:c>
      <x:c r="B4" s="38" t="n">
        <x:f>'Assumptions'!B5</x:f>
        <x:v>500000</x:v>
      </x:c>
      <x:c r="C4" s="38" t="n">
        <x:f>'Assumptions'!C5</x:f>
        <x:v>500000</x:v>
      </x:c>
      <x:c r="D4" t="str">
        <x:v>Input</x:v>
      </x:c>
      <x:c r="E4" t="str">
        <x:v>No</x:v>
      </x:c>
      <x:c r="F4" t="str"/>
    </x:row>
    <x:row r="5">
      <x:c r="A5" t="str">
        <x:v>Down payment</x:v>
      </x:c>
      <x:c r="B5" s="38" t="n">
        <x:f>B4*'Assumptions'!B9</x:f>
        <x:v>100000</x:v>
      </x:c>
      <x:c r="C5" s="38" t="n">
        <x:f>C4*'Assumptions'!C9</x:f>
        <x:v>125000</x:v>
      </x:c>
      <x:c r="D5" t="str">
        <x:v>Purchase × DP %</x:v>
      </x:c>
      <x:c r="E5" t="str">
        <x:v>No</x:v>
      </x:c>
      <x:c r="F5" t="str"/>
    </x:row>
    <x:row r="6">
      <x:c r="A6" t="str">
        <x:v>Loan amount</x:v>
      </x:c>
      <x:c r="B6" s="38" t="n">
        <x:f>B4-B5</x:f>
        <x:v>400000</x:v>
      </x:c>
      <x:c r="C6" s="38" t="n">
        <x:f>C4-C5</x:f>
        <x:v>375000</x:v>
      </x:c>
      <x:c r="D6" t="str">
        <x:v>Purchase – DP</x:v>
      </x:c>
      <x:c r="E6" t="str">
        <x:v>No</x:v>
      </x:c>
      <x:c r="F6" t="str"/>
    </x:row>
    <x:row r="7">
      <x:c r="A7" t="str">
        <x:v>Closing costs</x:v>
      </x:c>
      <x:c r="B7" s="38" t="n">
        <x:f>B4*'Assumptions'!B12</x:f>
        <x:v>20000</x:v>
      </x:c>
      <x:c r="C7" s="38" t="n">
        <x:f>C4*'Assumptions'!C12</x:f>
        <x:v>20000</x:v>
      </x:c>
      <x:c r="D7" t="str">
        <x:v>Purchase × closing %</x:v>
      </x:c>
      <x:c r="E7" t="str">
        <x:v>Yes</x:v>
      </x:c>
      <x:c r="F7" t="str">
        <x:v>Attorney, title, transfer, escrow</x:v>
      </x:c>
    </x:row>
    <x:row r="8">
      <x:c r="A8" t="str">
        <x:v>Lender points / fees</x:v>
      </x:c>
      <x:c r="B8" s="38" t="n">
        <x:f>B6*'Assumptions'!B13</x:f>
        <x:v>4000</x:v>
      </x:c>
      <x:c r="C8" s="38" t="n">
        <x:f>C6*'Assumptions'!C13</x:f>
        <x:v>5625</x:v>
      </x:c>
      <x:c r="D8" t="str">
        <x:v>Loan × points</x:v>
      </x:c>
      <x:c r="E8" t="str">
        <x:v>Yes</x:v>
      </x:c>
      <x:c r="F8" t="str"/>
    </x:row>
    <x:row r="9">
      <x:c r="A9" t="str">
        <x:v>Renovation budget</x:v>
      </x:c>
      <x:c r="B9" s="38" t="n">
        <x:f>'Assumptions'!B6</x:f>
        <x:v>150000</x:v>
      </x:c>
      <x:c r="C9" s="38" t="n">
        <x:f>'Assumptions'!C6</x:f>
        <x:v>150000</x:v>
      </x:c>
      <x:c r="D9" t="str">
        <x:v>Input</x:v>
      </x:c>
      <x:c r="E9" t="str">
        <x:v>No</x:v>
      </x:c>
      <x:c r="F9" t="str"/>
    </x:row>
    <x:row r="10">
      <x:c r="A10" t="str">
        <x:v>Renovation contingency</x:v>
      </x:c>
      <x:c r="B10" s="38" t="n">
        <x:f>B9*'Assumptions'!B7</x:f>
        <x:v>22500</x:v>
      </x:c>
      <x:c r="C10" s="38" t="n">
        <x:f>C9*'Assumptions'!C7</x:f>
        <x:v>22500</x:v>
      </x:c>
      <x:c r="D10" t="str">
        <x:v>Renovation × contingency %</x:v>
      </x:c>
      <x:c r="E10" t="str">
        <x:v>Yes</x:v>
      </x:c>
      <x:c r="F10" t="str"/>
    </x:row>
    <x:row r="11">
      <x:c r="A11" t="str">
        <x:v>Furniture / design / setup</x:v>
      </x:c>
      <x:c r="B11" s="38" t="n">
        <x:f>'Assumptions'!B8</x:f>
        <x:v>35000</x:v>
      </x:c>
      <x:c r="C11" s="38" t="n">
        <x:f>'Assumptions'!C8</x:f>
        <x:v>35000</x:v>
      </x:c>
      <x:c r="D11" t="str">
        <x:v>Input</x:v>
      </x:c>
      <x:c r="E11" t="str">
        <x:v>Yes</x:v>
      </x:c>
      <x:c r="F11" t="str"/>
    </x:row>
    <x:row r="12">
      <x:c r="A12" t="str">
        <x:v>Inspection / septic / well / survey</x:v>
      </x:c>
      <x:c r="B12" s="38" t="n">
        <x:f>6500</x:f>
        <x:v>6500</x:v>
      </x:c>
      <x:c r="C12" s="38" t="n">
        <x:f>6500</x:f>
        <x:v>6500</x:v>
      </x:c>
      <x:c r="D12" t="str">
        <x:v>Input</x:v>
      </x:c>
      <x:c r="E12" t="str">
        <x:v>Yes</x:v>
      </x:c>
      <x:c r="F12" t="str">
        <x:v>Property specific</x:v>
      </x:c>
    </x:row>
    <x:row r="13">
      <x:c r="A13" t="str">
        <x:v>Permit / architect / engineering</x:v>
      </x:c>
      <x:c r="B13" s="38" t="n">
        <x:f>12000</x:f>
        <x:v>12000</x:v>
      </x:c>
      <x:c r="C13" s="38" t="n">
        <x:f>12000</x:f>
        <x:v>12000</x:v>
      </x:c>
      <x:c r="D13" t="str">
        <x:v>Input</x:v>
      </x:c>
      <x:c r="E13" t="str">
        <x:v>Yes</x:v>
      </x:c>
      <x:c r="F13" t="str"/>
    </x:row>
    <x:row r="14">
      <x:c r="A14" t="str">
        <x:v>Technology / locks / cameras / Wi-Fi</x:v>
      </x:c>
      <x:c r="B14" s="30" t="n">
        <x:f>7000</x:f>
        <x:v>7000</x:v>
      </x:c>
      <x:c r="C14" s="30" t="n">
        <x:f>7000</x:f>
        <x:v>7000</x:v>
      </x:c>
      <x:c r="D14" t="str">
        <x:v>Input</x:v>
      </x:c>
      <x:c r="E14" t="str">
        <x:v>Yes</x:v>
      </x:c>
      <x:c r="F14" t="str"/>
    </x:row>
    <x:row r="15">
      <x:c r="A15" t="str">
        <x:v>Initial linen / kitchen / guest supplies</x:v>
      </x:c>
      <x:c r="B15" s="30" t="n">
        <x:f>6000</x:f>
        <x:v>6000</x:v>
      </x:c>
      <x:c r="C15" s="30" t="n">
        <x:f>6000</x:f>
        <x:v>6000</x:v>
      </x:c>
      <x:c r="D15" t="str">
        <x:v>Input</x:v>
      </x:c>
      <x:c r="E15" t="str">
        <x:v>Yes</x:v>
      </x:c>
      <x:c r="F15" t="str"/>
    </x:row>
    <x:row r="16">
      <x:c r="A16" t="str">
        <x:v>Wedding venue setup / lighting / power</x:v>
      </x:c>
      <x:c r="B16" s="30" t="n">
        <x:f>25000</x:f>
        <x:v>25000</x:v>
      </x:c>
      <x:c r="C16" s="30" t="n">
        <x:f>25000</x:f>
        <x:v>25000</x:v>
      </x:c>
      <x:c r="D16" t="str">
        <x:v>Input</x:v>
      </x:c>
      <x:c r="E16" t="str">
        <x:v>Yes</x:v>
      </x:c>
      <x:c r="F16" t="str">
        <x:v>Tent pad, power, restrooms, prep</x:v>
      </x:c>
    </x:row>
    <x:row r="17">
      <x:c r="A17" t="str">
        <x:v>Initial reserve</x:v>
      </x:c>
      <x:c r="B17" s="30" t="n">
        <x:f>'Assumptions'!B16</x:f>
        <x:v>30000</x:v>
      </x:c>
      <x:c r="C17" s="30" t="n">
        <x:f>'Assumptions'!C16</x:f>
        <x:v>40000</x:v>
      </x:c>
      <x:c r="D17" t="str">
        <x:v>Input</x:v>
      </x:c>
      <x:c r="E17" t="str">
        <x:v>Yes</x:v>
      </x:c>
      <x:c r="F17" t="str"/>
    </x:row>
    <x:row r="18">
      <x:c r="A18" t="str">
        <x:v>Total project cost</x:v>
      </x:c>
      <x:c r="B18" s="30" t="n">
        <x:f>SUM(B4,B7:B17)</x:f>
        <x:v>818000</x:v>
      </x:c>
      <x:c r="C18" s="30" t="n">
        <x:f>SUM(C4,C7:C17)</x:f>
        <x:v>829625</x:v>
      </x:c>
      <x:c r="D18" t="str">
        <x:v>Total uses</x:v>
      </x:c>
      <x:c r="E18" t="str">
        <x:v>No</x:v>
      </x:c>
      <x:c r="F18" t="str"/>
    </x:row>
    <x:row r="19">
      <x:c r="A19" s="42" t="str">
        <x:v>Total cash required</x:v>
      </x:c>
      <x:c r="B19" s="43" t="n">
        <x:f>SUM(B5,B7:B17)</x:f>
        <x:v>418000</x:v>
      </x:c>
      <x:c r="C19" s="43" t="n">
        <x:f>SUM(C5,C7:C17)</x:f>
        <x:v>454625</x:v>
      </x:c>
      <x:c r="D19" s="42" t="str">
        <x:v>Cash excluding debt</x:v>
      </x:c>
      <x:c r="E19" s="42" t="str">
        <x:v>No</x:v>
      </x:c>
      <x:c r="F19" s="42" t="str"/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16" hidden="0" customWidth="1"/>
    <x:col min="3" max="3" width="16" hidden="0" customWidth="1"/>
    <x:col min="4" max="4" width="16" hidden="0" customWidth="1"/>
    <x:col min="5" max="5" width="20" hidden="0" customWidth="1"/>
    <x:col min="6" max="6" width="18" hidden="0" customWidth="1"/>
    <x:col min="7" max="7" width="35" hidden="0" customWidth="1"/>
  </x:cols>
  <x:sheetData>
    <x:row r="1" ht="28" customHeight="1">
      <x:c r="A1" s="5" t="str">
        <x:v>Renovation &amp; Venue Build-Out Budget</x:v>
      </x:c>
      <x:c r="B1" s="5" t="str">
        <x:v>Renovation &amp; Venue Build-Out Budget</x:v>
      </x:c>
      <x:c r="C1" s="5" t="str">
        <x:v>Renovation &amp; Venue Build-Out Budget</x:v>
      </x:c>
      <x:c r="D1" s="5" t="str">
        <x:v>Renovation &amp; Venue Build-Out Budget</x:v>
      </x:c>
      <x:c r="E1" s="5" t="str">
        <x:v>Renovation &amp; Venue Build-Out Budget</x:v>
      </x:c>
      <x:c r="F1" s="5" t="str">
        <x:v>Renovation &amp; Venue Build-Out Budget</x:v>
      </x:c>
      <x:c r="G1" s="5" t="str">
        <x:v>Renovation &amp; Venue Build-Out Budget</x:v>
      </x:c>
    </x:row>
    <x:row r="3">
      <x:c r="A3" s="22" t="str">
        <x:v>Category</x:v>
      </x:c>
      <x:c r="B3" s="22" t="str">
        <x:v>Base budget</x:v>
      </x:c>
      <x:c r="C3" s="22" t="str">
        <x:v>Low estimate</x:v>
      </x:c>
      <x:c r="D3" s="22" t="str">
        <x:v>High estimate</x:v>
      </x:c>
      <x:c r="E3" s="22" t="str">
        <x:v>Wedding relevance (1-5)</x:v>
      </x:c>
      <x:c r="F3" s="22" t="str">
        <x:v>Status</x:v>
      </x:c>
      <x:c r="G3" s="22" t="str">
        <x:v>Notes</x:v>
      </x:c>
    </x:row>
    <x:row r="4">
      <x:c r="A4" t="str">
        <x:v>Structural / foundation</x:v>
      </x:c>
      <x:c r="B4" s="30" t="n">
        <x:v>10000</x:v>
      </x:c>
      <x:c r="C4" s="30" t="n">
        <x:v>5000</x:v>
      </x:c>
      <x:c r="D4" s="30" t="n">
        <x:v>30000</x:v>
      </x:c>
      <x:c r="E4" s="34" t="n">
        <x:v>5</x:v>
      </x:c>
      <x:c r="F4" s="28" t="str">
        <x:v>Not scoped</x:v>
      </x:c>
      <x:c r="G4" t="str"/>
    </x:row>
    <x:row r="5">
      <x:c r="A5" t="str">
        <x:v>Roof / drainage / gutters</x:v>
      </x:c>
      <x:c r="B5" s="30" t="n">
        <x:v>15000</x:v>
      </x:c>
      <x:c r="C5" s="30" t="n">
        <x:v>8000</x:v>
      </x:c>
      <x:c r="D5" s="30" t="n">
        <x:v>35000</x:v>
      </x:c>
      <x:c r="E5" s="34" t="n">
        <x:v>5</x:v>
      </x:c>
      <x:c r="F5" s="28" t="str">
        <x:v>Not scoped</x:v>
      </x:c>
      <x:c r="G5" t="str"/>
    </x:row>
    <x:row r="6">
      <x:c r="A6" t="str">
        <x:v>Electrical / service / backup power</x:v>
      </x:c>
      <x:c r="B6" s="30" t="n">
        <x:v>15000</x:v>
      </x:c>
      <x:c r="C6" s="30" t="n">
        <x:v>10000</x:v>
      </x:c>
      <x:c r="D6" s="30" t="n">
        <x:v>40000</x:v>
      </x:c>
      <x:c r="E6" s="34" t="n">
        <x:v>5</x:v>
      </x:c>
      <x:c r="F6" s="28" t="str">
        <x:v>Not scoped</x:v>
      </x:c>
      <x:c r="G6" t="str">
        <x:v>Event power is critical</x:v>
      </x:c>
    </x:row>
    <x:row r="7">
      <x:c r="A7" t="str">
        <x:v>Plumbing / septic / well</x:v>
      </x:c>
      <x:c r="B7" s="30" t="n">
        <x:v>18000</x:v>
      </x:c>
      <x:c r="C7" s="30" t="n">
        <x:v>10000</x:v>
      </x:c>
      <x:c r="D7" s="30" t="n">
        <x:v>45000</x:v>
      </x:c>
      <x:c r="E7" s="34" t="n">
        <x:v>5</x:v>
      </x:c>
      <x:c r="F7" s="28" t="str">
        <x:v>Not scoped</x:v>
      </x:c>
      <x:c r="G7" t="str">
        <x:v>Guest/event capacity</x:v>
      </x:c>
    </x:row>
    <x:row r="8">
      <x:c r="A8" t="str">
        <x:v>HVAC / insulation</x:v>
      </x:c>
      <x:c r="B8" s="30" t="n">
        <x:v>15000</x:v>
      </x:c>
      <x:c r="C8" s="30" t="n">
        <x:v>10000</x:v>
      </x:c>
      <x:c r="D8" s="30" t="n">
        <x:v>30000</x:v>
      </x:c>
      <x:c r="E8" s="34" t="n">
        <x:v>4</x:v>
      </x:c>
      <x:c r="F8" s="28" t="str">
        <x:v>Not scoped</x:v>
      </x:c>
      <x:c r="G8" t="str"/>
    </x:row>
    <x:row r="9">
      <x:c r="A9" t="str">
        <x:v>Kitchen</x:v>
      </x:c>
      <x:c r="B9" s="30" t="n">
        <x:v>20000</x:v>
      </x:c>
      <x:c r="C9" s="30" t="n">
        <x:v>15000</x:v>
      </x:c>
      <x:c r="D9" s="30" t="n">
        <x:v>40000</x:v>
      </x:c>
      <x:c r="E9" s="34" t="n">
        <x:v>4</x:v>
      </x:c>
      <x:c r="F9" s="28" t="str">
        <x:v>Not scoped</x:v>
      </x:c>
      <x:c r="G9" t="str">
        <x:v>Catering / prep utility</x:v>
      </x:c>
    </x:row>
    <x:row r="10">
      <x:c r="A10" t="str">
        <x:v>Bathrooms / guest rooms</x:v>
      </x:c>
      <x:c r="B10" s="30" t="n">
        <x:v>18000</x:v>
      </x:c>
      <x:c r="C10" s="30" t="n">
        <x:v>12000</x:v>
      </x:c>
      <x:c r="D10" s="30" t="n">
        <x:v>35000</x:v>
      </x:c>
      <x:c r="E10" s="34" t="n">
        <x:v>5</x:v>
      </x:c>
      <x:c r="F10" s="28" t="str">
        <x:v>Not scoped</x:v>
      </x:c>
      <x:c r="G10" t="str"/>
    </x:row>
    <x:row r="11">
      <x:c r="A11" t="str">
        <x:v>Interior finishes / floors / paint</x:v>
      </x:c>
      <x:c r="B11" s="30" t="n">
        <x:v>12000</x:v>
      </x:c>
      <x:c r="C11" s="30" t="n">
        <x:v>8000</x:v>
      </x:c>
      <x:c r="D11" s="30" t="n">
        <x:v>25000</x:v>
      </x:c>
      <x:c r="E11" s="34" t="n">
        <x:v>4</x:v>
      </x:c>
      <x:c r="F11" s="28" t="str">
        <x:v>Not scoped</x:v>
      </x:c>
      <x:c r="G11" t="str"/>
    </x:row>
    <x:row r="12">
      <x:c r="A12" t="str">
        <x:v>Exterior / facade / landscaping</x:v>
      </x:c>
      <x:c r="B12" s="30" t="n">
        <x:v>10000</x:v>
      </x:c>
      <x:c r="C12" s="30" t="n">
        <x:v>5000</x:v>
      </x:c>
      <x:c r="D12" s="30" t="n">
        <x:v>30000</x:v>
      </x:c>
      <x:c r="E12" s="34" t="n">
        <x:v>5</x:v>
      </x:c>
      <x:c r="F12" s="28" t="str">
        <x:v>Not scoped</x:v>
      </x:c>
      <x:c r="G12" t="str">
        <x:v>Wedding photography</x:v>
      </x:c>
    </x:row>
    <x:row r="13">
      <x:c r="A13" t="str">
        <x:v>Parking / driveway / drainage</x:v>
      </x:c>
      <x:c r="B13" s="30" t="n">
        <x:v>6000</x:v>
      </x:c>
      <x:c r="C13" s="30" t="n">
        <x:v>3000</x:v>
      </x:c>
      <x:c r="D13" s="30" t="n">
        <x:v>30000</x:v>
      </x:c>
      <x:c r="E13" s="34" t="n">
        <x:v>5</x:v>
      </x:c>
      <x:c r="F13" s="28" t="str">
        <x:v>Not scoped</x:v>
      </x:c>
      <x:c r="G13" t="str">
        <x:v>Event parking</x:v>
      </x:c>
    </x:row>
    <x:row r="14">
      <x:c r="A14" t="str">
        <x:v>Event lawn / tent pad / ceremony area</x:v>
      </x:c>
      <x:c r="B14" s="30" t="n">
        <x:v>5000</x:v>
      </x:c>
      <x:c r="C14" s="30" t="n">
        <x:v>2500</x:v>
      </x:c>
      <x:c r="D14" s="30" t="n">
        <x:v>25000</x:v>
      </x:c>
      <x:c r="E14" s="34" t="n">
        <x:v>5</x:v>
      </x:c>
      <x:c r="F14" s="28" t="str">
        <x:v>Not scoped</x:v>
      </x:c>
      <x:c r="G14" t="str"/>
    </x:row>
    <x:row r="15">
      <x:c r="A15" t="str">
        <x:v>Lighting / AV / Wi-Fi</x:v>
      </x:c>
      <x:c r="B15" s="30" t="n">
        <x:v>3000</x:v>
      </x:c>
      <x:c r="C15" s="30" t="n">
        <x:v>1500</x:v>
      </x:c>
      <x:c r="D15" s="30" t="n">
        <x:v>15000</x:v>
      </x:c>
      <x:c r="E15" s="34" t="n">
        <x:v>5</x:v>
      </x:c>
      <x:c r="F15" s="28" t="str">
        <x:v>Not scoped</x:v>
      </x:c>
      <x:c r="G15" t="str"/>
    </x:row>
    <x:row r="16">
      <x:c r="A16" t="str">
        <x:v>Furniture / decor</x:v>
      </x:c>
      <x:c r="B16" s="30" t="n">
        <x:v>0</x:v>
      </x:c>
      <x:c r="C16" s="30" t="n">
        <x:v>0</x:v>
      </x:c>
      <x:c r="D16" s="30" t="n">
        <x:v>0</x:v>
      </x:c>
      <x:c r="E16" s="34" t="n">
        <x:v>4</x:v>
      </x:c>
      <x:c r="F16" s="28" t="str">
        <x:v>Separate budget</x:v>
      </x:c>
      <x:c r="G16" t="str">
        <x:v>Included in acquisition costs</x:v>
      </x:c>
    </x:row>
    <x:row r="17">
      <x:c r="A17" t="str">
        <x:v>Professional fees / permits</x:v>
      </x:c>
      <x:c r="B17" s="30" t="n">
        <x:v>3000</x:v>
      </x:c>
      <x:c r="C17" s="30" t="n">
        <x:v>2000</x:v>
      </x:c>
      <x:c r="D17" s="30" t="n">
        <x:v>15000</x:v>
      </x:c>
      <x:c r="E17" s="34" t="n">
        <x:v>5</x:v>
      </x:c>
      <x:c r="F17" s="28" t="str">
        <x:v>Not scoped</x:v>
      </x:c>
      <x:c r="G17" t="str"/>
    </x:row>
    <x:row r="19">
      <x:c r="A19" s="42" t="str">
        <x:v>Total</x:v>
      </x:c>
      <x:c r="B19" s="46" t="n">
        <x:f>SUM(B4:B17)</x:f>
        <x:v>150000</x:v>
      </x:c>
      <x:c r="C19" s="46" t="n">
        <x:f>SUM(C4:C17)</x:f>
        <x:v>92000</x:v>
      </x:c>
      <x:c r="D19" s="46" t="n">
        <x:f>SUM(D4:D17)</x:f>
        <x:v>395000</x:v>
      </x:c>
      <x:c r="E19" s="42" t="str"/>
      <x:c r="F19" s="42" t="str"/>
      <x:c r="G19" s="42" t="str"/>
    </x:row>
  </x:sheetData>
  <x:mergeCells>
    <x:mergeCell ref="A1:G1"/>
  </x:mergeCells>
  <x:dataValidations count="1">
    <x:dataValidation type="list" sqref="F4:F17">
      <x:formula1>"Not scoped,Quote requested,Quoted,Contracted,Complete,Separate budget"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5" hidden="0" customWidth="1"/>
    <x:col min="3" max="3" width="34" hidden="0" customWidth="1"/>
    <x:col min="4" max="4" width="18" hidden="0" customWidth="1"/>
    <x:col min="5" max="5" width="22" hidden="0" customWidth="1"/>
    <x:col min="6" max="6" width="12" hidden="0" customWidth="1"/>
    <x:col min="7" max="7" width="15" hidden="0" customWidth="1"/>
    <x:col min="8" max="8" width="14" hidden="0" customWidth="1"/>
    <x:col min="9" max="9" width="13" hidden="0" customWidth="1"/>
    <x:col min="10" max="10" width="13" hidden="0" customWidth="1"/>
    <x:col min="11" max="11" width="18" hidden="0" customWidth="1"/>
    <x:col min="12" max="12" width="20" hidden="0" customWidth="1"/>
    <x:col min="13" max="13" width="18" hidden="0" customWidth="1"/>
    <x:col min="14" max="14" width="35" hidden="0" customWidth="1"/>
  </x:cols>
  <x:sheetData>
    <x:row r="1" ht="28" customHeight="1">
      <x:c r="A1" s="5" t="str">
        <x:v>Short-Term Rental Market Comparables</x:v>
      </x:c>
      <x:c r="B1" s="5" t="str">
        <x:v>Short-Term Rental Market Comparables</x:v>
      </x:c>
      <x:c r="C1" s="5" t="str">
        <x:v>Short-Term Rental Market Comparables</x:v>
      </x:c>
      <x:c r="D1" s="5" t="str">
        <x:v>Short-Term Rental Market Comparables</x:v>
      </x:c>
      <x:c r="E1" s="5" t="str">
        <x:v>Short-Term Rental Market Comparables</x:v>
      </x:c>
      <x:c r="F1" s="5" t="str">
        <x:v>Short-Term Rental Market Comparables</x:v>
      </x:c>
      <x:c r="G1" s="5" t="str">
        <x:v>Short-Term Rental Market Comparables</x:v>
      </x:c>
      <x:c r="H1" s="5" t="str">
        <x:v>Short-Term Rental Market Comparables</x:v>
      </x:c>
      <x:c r="I1" s="5" t="str">
        <x:v>Short-Term Rental Market Comparables</x:v>
      </x:c>
      <x:c r="J1" s="5" t="str">
        <x:v>Short-Term Rental Market Comparables</x:v>
      </x:c>
      <x:c r="K1" s="5" t="str">
        <x:v>Short-Term Rental Market Comparables</x:v>
      </x:c>
      <x:c r="L1" s="5" t="str">
        <x:v>Short-Term Rental Market Comparables</x:v>
      </x:c>
      <x:c r="M1" s="5" t="str">
        <x:v>Short-Term Rental Market Comparables</x:v>
      </x:c>
      <x:c r="N1" s="5" t="str">
        <x:v>Short-Term Rental Market Comparables</x:v>
      </x:c>
    </x:row>
    <x:row r="3">
      <x:c r="A3" s="22" t="str">
        <x:v>Comp / Listing</x:v>
      </x:c>
      <x:c r="B3" s="22" t="str">
        <x:v>Town</x:v>
      </x:c>
      <x:c r="C3" s="22" t="str">
        <x:v>Source URL</x:v>
      </x:c>
      <x:c r="D3" s="22" t="str">
        <x:v>Distance NYC (min)</x:v>
      </x:c>
      <x:c r="E3" s="22" t="str">
        <x:v>Hub / restaurants (min)</x:v>
      </x:c>
      <x:c r="F3" s="22" t="str">
        <x:v>Bedrooms</x:v>
      </x:c>
      <x:c r="G3" s="22" t="str">
        <x:v>Guest capacity</x:v>
      </x:c>
      <x:c r="H3" s="22" t="str">
        <x:v>Nightly rate</x:v>
      </x:c>
      <x:c r="I3" s="22" t="str">
        <x:v>Occupancy %</x:v>
      </x:c>
      <x:c r="J3" s="22" t="str">
        <x:v>Booked days</x:v>
      </x:c>
      <x:c r="K3" s="22" t="str">
        <x:v>Est. lodging revenue</x:v>
      </x:c>
      <x:c r="L3" s="22" t="str">
        <x:v>Wedding / event capable?</x:v>
      </x:c>
      <x:c r="M3" s="22" t="str">
        <x:v>Quality relevance (1-5)</x:v>
      </x:c>
      <x:c r="N3" s="22" t="str">
        <x:v>Notes</x:v>
      </x:c>
    </x:row>
    <x:row r="4">
      <x:c r="A4" s="28" t="str">
        <x:v>Sample A</x:v>
      </x:c>
      <x:c r="B4" s="28" t="str">
        <x:v>Hudson</x:v>
      </x:c>
      <x:c r="C4" s="28" t="str"/>
      <x:c r="D4" s="28" t="n">
        <x:v>125</x:v>
      </x:c>
      <x:c r="E4" s="28" t="n">
        <x:v>8</x:v>
      </x:c>
      <x:c r="F4" s="28" t="n">
        <x:v>4</x:v>
      </x:c>
      <x:c r="G4" s="28" t="n">
        <x:v>10</x:v>
      </x:c>
      <x:c r="H4" s="30" t="n">
        <x:v>475</x:v>
      </x:c>
      <x:c r="I4" s="32" t="n">
        <x:v>0.55</x:v>
      </x:c>
      <x:c r="J4" s="36" t="n">
        <x:f>365*I4</x:f>
        <x:v>200.75000000000003</x:v>
      </x:c>
      <x:c r="K4" s="38" t="n">
        <x:f>H4*J4</x:f>
        <x:v>95356.25000000001</x:v>
      </x:c>
      <x:c r="L4" s="28" t="str">
        <x:v>Yes</x:v>
      </x:c>
      <x:c r="M4" s="28" t="n">
        <x:v>4</x:v>
      </x:c>
      <x:c r="N4" s="28" t="str">
        <x:v>Replace with verified comparable</x:v>
      </x:c>
    </x:row>
    <x:row r="5">
      <x:c r="A5" s="28" t="str">
        <x:v>Sample B</x:v>
      </x:c>
      <x:c r="B5" s="28" t="str">
        <x:v>Kingston</x:v>
      </x:c>
      <x:c r="C5" s="28" t="str"/>
      <x:c r="D5" s="28" t="n">
        <x:v>115</x:v>
      </x:c>
      <x:c r="E5" s="28" t="n">
        <x:v>12</x:v>
      </x:c>
      <x:c r="F5" s="28" t="n">
        <x:v>3</x:v>
      </x:c>
      <x:c r="G5" s="28" t="n">
        <x:v>8</x:v>
      </x:c>
      <x:c r="H5" s="30" t="n">
        <x:v>350</x:v>
      </x:c>
      <x:c r="I5" s="32" t="n">
        <x:v>0.6</x:v>
      </x:c>
      <x:c r="J5" s="36" t="n">
        <x:f>365*I5</x:f>
        <x:v>219</x:v>
      </x:c>
      <x:c r="K5" s="38" t="n">
        <x:f>H5*J5</x:f>
        <x:v>76650</x:v>
      </x:c>
      <x:c r="L5" s="28" t="str">
        <x:v>No</x:v>
      </x:c>
      <x:c r="M5" s="28" t="n">
        <x:v>3</x:v>
      </x:c>
      <x:c r="N5" s="28" t="str">
        <x:v>Replace with verified comparable</x:v>
      </x:c>
    </x:row>
    <x:row r="6">
      <x:c r="A6" s="28" t="str">
        <x:v>Sample C</x:v>
      </x:c>
      <x:c r="B6" s="28" t="str">
        <x:v>New Paltz</x:v>
      </x:c>
      <x:c r="C6" s="28" t="str"/>
      <x:c r="D6" s="28" t="n">
        <x:v>105</x:v>
      </x:c>
      <x:c r="E6" s="28" t="n">
        <x:v>6</x:v>
      </x:c>
      <x:c r="F6" s="28" t="n">
        <x:v>4</x:v>
      </x:c>
      <x:c r="G6" s="28" t="n">
        <x:v>12</x:v>
      </x:c>
      <x:c r="H6" s="30" t="n">
        <x:v>525</x:v>
      </x:c>
      <x:c r="I6" s="32" t="n">
        <x:v>0.52</x:v>
      </x:c>
      <x:c r="J6" s="36" t="n">
        <x:f>365*I6</x:f>
        <x:v>189.8</x:v>
      </x:c>
      <x:c r="K6" s="38" t="n">
        <x:f>H6*J6</x:f>
        <x:v>99645</x:v>
      </x:c>
      <x:c r="L6" s="28" t="str">
        <x:v>Yes</x:v>
      </x:c>
      <x:c r="M6" s="28" t="n">
        <x:v>5</x:v>
      </x:c>
      <x:c r="N6" s="28" t="str">
        <x:v>Replace with verified comparable</x:v>
      </x:c>
    </x:row>
    <x:row r="7">
      <x:c r="A7" s="28" t="str">
        <x:v>Sample D</x:v>
      </x:c>
      <x:c r="B7" s="28" t="str">
        <x:v>Catskills</x:v>
      </x:c>
      <x:c r="C7" s="28" t="str"/>
      <x:c r="D7" s="28" t="n">
        <x:v>145</x:v>
      </x:c>
      <x:c r="E7" s="28" t="n">
        <x:v>22</x:v>
      </x:c>
      <x:c r="F7" s="28" t="n">
        <x:v>5</x:v>
      </x:c>
      <x:c r="G7" s="28" t="n">
        <x:v>14</x:v>
      </x:c>
      <x:c r="H7" s="30" t="n">
        <x:v>650</x:v>
      </x:c>
      <x:c r="I7" s="32" t="n">
        <x:v>0.48</x:v>
      </x:c>
      <x:c r="J7" s="36" t="n">
        <x:f>365*I7</x:f>
        <x:v>175.2</x:v>
      </x:c>
      <x:c r="K7" s="38" t="n">
        <x:f>H7*J7</x:f>
        <x:v>113879.99999999999</x:v>
      </x:c>
      <x:c r="L7" s="28" t="str">
        <x:v>Yes</x:v>
      </x:c>
      <x:c r="M7" s="28" t="n">
        <x:v>4</x:v>
      </x:c>
      <x:c r="N7" s="28" t="str">
        <x:v>Replace with verified comparable</x:v>
      </x:c>
    </x:row>
    <x:row r="8">
      <x:c r="A8" s="28" t="str">
        <x:v>Sample E</x:v>
      </x:c>
      <x:c r="B8" s="28" t="str">
        <x:v>Beacon</x:v>
      </x:c>
      <x:c r="C8" s="28" t="str"/>
      <x:c r="D8" s="28" t="n">
        <x:v>85</x:v>
      </x:c>
      <x:c r="E8" s="28" t="n">
        <x:v>5</x:v>
      </x:c>
      <x:c r="F8" s="28" t="n">
        <x:v>3</x:v>
      </x:c>
      <x:c r="G8" s="28" t="n">
        <x:v>8</x:v>
      </x:c>
      <x:c r="H8" s="30" t="n">
        <x:v>425</x:v>
      </x:c>
      <x:c r="I8" s="32" t="n">
        <x:v>0.62</x:v>
      </x:c>
      <x:c r="J8" s="36" t="n">
        <x:f>365*I8</x:f>
        <x:v>226.3</x:v>
      </x:c>
      <x:c r="K8" s="38" t="n">
        <x:f>H8*J8</x:f>
        <x:v>96177.5</x:v>
      </x:c>
      <x:c r="L8" s="28" t="str">
        <x:v>No</x:v>
      </x:c>
      <x:c r="M8" s="28" t="n">
        <x:v>4</x:v>
      </x:c>
      <x:c r="N8" s="28" t="str">
        <x:v>Replace with verified comparable</x:v>
      </x:c>
    </x:row>
    <x:row r="9">
      <x:c r="A9" s="28" t="str"/>
      <x:c r="B9" s="28" t="str"/>
      <x:c r="C9" s="28" t="str"/>
      <x:c r="D9" s="28"/>
      <x:c r="E9" s="28"/>
      <x:c r="F9" s="28"/>
      <x:c r="G9" s="28"/>
      <x:c r="H9" s="30"/>
      <x:c r="I9" s="32"/>
      <x:c r="J9" s="36"/>
      <x:c r="K9" s="38"/>
      <x:c r="L9" s="28" t="str"/>
      <x:c r="M9" s="28"/>
      <x:c r="N9" s="28" t="str"/>
    </x:row>
    <x:row r="10">
      <x:c r="A10" s="28" t="str"/>
      <x:c r="B10" s="28" t="str"/>
      <x:c r="C10" s="28" t="str"/>
      <x:c r="D10" s="28"/>
      <x:c r="E10" s="28"/>
      <x:c r="F10" s="28"/>
      <x:c r="G10" s="28"/>
      <x:c r="H10" s="30"/>
      <x:c r="I10" s="32"/>
      <x:c r="J10" s="36"/>
      <x:c r="K10" s="38"/>
      <x:c r="L10" s="28" t="str"/>
      <x:c r="M10" s="28"/>
      <x:c r="N10" s="28" t="str"/>
    </x:row>
    <x:row r="11">
      <x:c r="A11" s="28" t="str"/>
      <x:c r="B11" s="28" t="str"/>
      <x:c r="C11" s="28" t="str"/>
      <x:c r="D11" s="28"/>
      <x:c r="E11" s="28"/>
      <x:c r="F11" s="28"/>
      <x:c r="G11" s="28"/>
      <x:c r="H11" s="30"/>
      <x:c r="I11" s="32"/>
      <x:c r="J11" s="36"/>
      <x:c r="K11" s="38"/>
      <x:c r="L11" s="28" t="str"/>
      <x:c r="M11" s="28"/>
      <x:c r="N11" s="28" t="str"/>
    </x:row>
    <x:row r="12">
      <x:c r="A12" s="28" t="str"/>
      <x:c r="B12" s="28" t="str"/>
      <x:c r="C12" s="28" t="str"/>
      <x:c r="D12" s="28"/>
      <x:c r="E12" s="28"/>
      <x:c r="F12" s="28"/>
      <x:c r="G12" s="28"/>
      <x:c r="H12" s="30"/>
      <x:c r="I12" s="32"/>
      <x:c r="J12" s="36"/>
      <x:c r="K12" s="38"/>
      <x:c r="L12" s="28" t="str"/>
      <x:c r="M12" s="28"/>
      <x:c r="N12" s="28" t="str"/>
    </x:row>
    <x:row r="13">
      <x:c r="A13" s="28" t="str"/>
      <x:c r="B13" s="28" t="str"/>
      <x:c r="C13" s="28" t="str"/>
      <x:c r="D13" s="28"/>
      <x:c r="E13" s="28"/>
      <x:c r="F13" s="28"/>
      <x:c r="G13" s="28"/>
      <x:c r="H13" s="30"/>
      <x:c r="I13" s="32"/>
      <x:c r="J13" s="36"/>
      <x:c r="K13" s="38"/>
      <x:c r="L13" s="28" t="str"/>
      <x:c r="M13" s="28"/>
      <x:c r="N13" s="28" t="str"/>
    </x:row>
    <x:row r="14">
      <x:c r="A14" s="28" t="str"/>
      <x:c r="B14" s="28" t="str"/>
      <x:c r="C14" s="28" t="str"/>
      <x:c r="D14" s="28"/>
      <x:c r="E14" s="28"/>
      <x:c r="F14" s="28"/>
      <x:c r="G14" s="28"/>
      <x:c r="H14" s="30"/>
      <x:c r="I14" s="32"/>
      <x:c r="J14" s="36"/>
      <x:c r="K14" s="38"/>
      <x:c r="L14" s="28" t="str"/>
      <x:c r="M14" s="28"/>
      <x:c r="N14" s="28" t="str"/>
    </x:row>
    <x:row r="15">
      <x:c r="A15" s="28" t="str"/>
      <x:c r="B15" s="28" t="str"/>
      <x:c r="C15" s="28" t="str"/>
      <x:c r="D15" s="28"/>
      <x:c r="E15" s="28"/>
      <x:c r="F15" s="28"/>
      <x:c r="G15" s="28"/>
      <x:c r="H15" s="30"/>
      <x:c r="I15" s="32"/>
      <x:c r="J15" s="36"/>
      <x:c r="K15" s="38"/>
      <x:c r="L15" s="28" t="str"/>
      <x:c r="M15" s="28"/>
      <x:c r="N15" s="28" t="str"/>
    </x:row>
    <x:row r="16">
      <x:c r="A16" s="28" t="str"/>
      <x:c r="B16" s="28" t="str"/>
      <x:c r="C16" s="28" t="str"/>
      <x:c r="D16" s="28"/>
      <x:c r="E16" s="28"/>
      <x:c r="F16" s="28"/>
      <x:c r="G16" s="28"/>
      <x:c r="H16" s="30"/>
      <x:c r="I16" s="32"/>
      <x:c r="J16" s="36"/>
      <x:c r="K16" s="38"/>
      <x:c r="L16" s="28" t="str"/>
      <x:c r="M16" s="28"/>
      <x:c r="N16" s="28" t="str"/>
    </x:row>
    <x:row r="17">
      <x:c r="A17" s="28" t="str"/>
      <x:c r="B17" s="28" t="str"/>
      <x:c r="C17" s="28" t="str"/>
      <x:c r="D17" s="28"/>
      <x:c r="E17" s="28"/>
      <x:c r="F17" s="28"/>
      <x:c r="G17" s="28"/>
      <x:c r="H17" s="30"/>
      <x:c r="I17" s="32"/>
      <x:c r="J17" s="36"/>
      <x:c r="K17" s="38"/>
      <x:c r="L17" s="28" t="str"/>
      <x:c r="M17" s="28"/>
      <x:c r="N17" s="28" t="str"/>
    </x:row>
    <x:row r="18">
      <x:c r="A18" s="28" t="str"/>
      <x:c r="B18" s="28" t="str"/>
      <x:c r="C18" s="28" t="str"/>
      <x:c r="D18" s="28"/>
      <x:c r="E18" s="28"/>
      <x:c r="F18" s="28"/>
      <x:c r="G18" s="28"/>
      <x:c r="H18" s="30"/>
      <x:c r="I18" s="32"/>
      <x:c r="J18" s="36"/>
      <x:c r="K18" s="38"/>
      <x:c r="L18" s="28" t="str"/>
      <x:c r="M18" s="28"/>
      <x:c r="N18" s="28" t="str"/>
    </x:row>
    <x:row r="19">
      <x:c r="A19" s="28" t="str"/>
      <x:c r="B19" s="28" t="str"/>
      <x:c r="C19" s="28" t="str"/>
      <x:c r="D19" s="28"/>
      <x:c r="E19" s="28"/>
      <x:c r="F19" s="28"/>
      <x:c r="G19" s="28"/>
      <x:c r="H19" s="30"/>
      <x:c r="I19" s="32"/>
      <x:c r="J19" s="36"/>
      <x:c r="K19" s="38"/>
      <x:c r="L19" s="28" t="str"/>
      <x:c r="M19" s="28"/>
      <x:c r="N19" s="28" t="str"/>
    </x:row>
    <x:row r="20">
      <x:c r="A20" s="28" t="str"/>
      <x:c r="B20" s="28" t="str"/>
      <x:c r="C20" s="28" t="str"/>
      <x:c r="D20" s="28"/>
      <x:c r="E20" s="28"/>
      <x:c r="F20" s="28"/>
      <x:c r="G20" s="28"/>
      <x:c r="H20" s="30"/>
      <x:c r="I20" s="32"/>
      <x:c r="J20" s="36"/>
      <x:c r="K20" s="38"/>
      <x:c r="L20" s="28" t="str"/>
      <x:c r="M20" s="28"/>
      <x:c r="N20" s="28" t="str"/>
    </x:row>
    <x:row r="21">
      <x:c r="A21" s="28" t="str"/>
      <x:c r="B21" s="28" t="str"/>
      <x:c r="C21" s="28" t="str"/>
      <x:c r="D21" s="28"/>
      <x:c r="E21" s="28"/>
      <x:c r="F21" s="28"/>
      <x:c r="G21" s="28"/>
      <x:c r="H21" s="30"/>
      <x:c r="I21" s="32"/>
      <x:c r="J21" s="36"/>
      <x:c r="K21" s="38"/>
      <x:c r="L21" s="28" t="str"/>
      <x:c r="M21" s="28"/>
      <x:c r="N21" s="28" t="str"/>
    </x:row>
    <x:row r="22">
      <x:c r="A22" s="28" t="str"/>
      <x:c r="B22" s="28" t="str"/>
      <x:c r="C22" s="28" t="str"/>
      <x:c r="D22" s="28"/>
      <x:c r="E22" s="28"/>
      <x:c r="F22" s="28"/>
      <x:c r="G22" s="28"/>
      <x:c r="H22" s="30"/>
      <x:c r="I22" s="32"/>
      <x:c r="J22" s="36"/>
      <x:c r="K22" s="38"/>
      <x:c r="L22" s="28" t="str"/>
      <x:c r="M22" s="28"/>
      <x:c r="N22" s="28" t="str"/>
    </x:row>
    <x:row r="23">
      <x:c r="A23" s="28" t="str"/>
      <x:c r="B23" s="28" t="str"/>
      <x:c r="C23" s="28" t="str"/>
      <x:c r="D23" s="28"/>
      <x:c r="E23" s="28"/>
      <x:c r="F23" s="28"/>
      <x:c r="G23" s="28"/>
      <x:c r="H23" s="30"/>
      <x:c r="I23" s="32"/>
      <x:c r="J23" s="36"/>
      <x:c r="K23" s="38"/>
      <x:c r="L23" s="28" t="str"/>
      <x:c r="M23" s="28"/>
      <x:c r="N23" s="28" t="str"/>
    </x:row>
    <x:row r="24">
      <x:c r="A24" s="28" t="str"/>
      <x:c r="B24" s="28" t="str"/>
      <x:c r="C24" s="28" t="str"/>
      <x:c r="D24" s="28"/>
      <x:c r="E24" s="28"/>
      <x:c r="F24" s="28"/>
      <x:c r="G24" s="28"/>
      <x:c r="H24" s="30"/>
      <x:c r="I24" s="32"/>
      <x:c r="J24" s="36"/>
      <x:c r="K24" s="38"/>
      <x:c r="L24" s="28" t="str"/>
      <x:c r="M24" s="28"/>
      <x:c r="N24" s="28" t="str"/>
    </x:row>
    <x:row r="25">
      <x:c r="A25" s="28" t="str"/>
      <x:c r="B25" s="28" t="str"/>
      <x:c r="C25" s="28" t="str"/>
      <x:c r="D25" s="28"/>
      <x:c r="E25" s="28"/>
      <x:c r="F25" s="28"/>
      <x:c r="G25" s="28"/>
      <x:c r="H25" s="30"/>
      <x:c r="I25" s="32"/>
      <x:c r="J25" s="36"/>
      <x:c r="K25" s="38"/>
      <x:c r="L25" s="28" t="str"/>
      <x:c r="M25" s="28"/>
      <x:c r="N25" s="28" t="str"/>
    </x:row>
    <x:row r="26">
      <x:c r="A26" s="28" t="str"/>
      <x:c r="B26" s="28" t="str"/>
      <x:c r="C26" s="28" t="str"/>
      <x:c r="D26" s="28"/>
      <x:c r="E26" s="28"/>
      <x:c r="F26" s="28"/>
      <x:c r="G26" s="28"/>
      <x:c r="H26" s="30"/>
      <x:c r="I26" s="32"/>
      <x:c r="J26" s="36"/>
      <x:c r="K26" s="38"/>
      <x:c r="L26" s="28" t="str"/>
      <x:c r="M26" s="28"/>
      <x:c r="N26" s="28" t="str"/>
    </x:row>
    <x:row r="27">
      <x:c r="A27" s="28" t="str"/>
      <x:c r="B27" s="28" t="str"/>
      <x:c r="C27" s="28" t="str"/>
      <x:c r="D27" s="28"/>
      <x:c r="E27" s="28"/>
      <x:c r="F27" s="28"/>
      <x:c r="G27" s="28"/>
      <x:c r="H27" s="30"/>
      <x:c r="I27" s="32"/>
      <x:c r="J27" s="36"/>
      <x:c r="K27" s="38"/>
      <x:c r="L27" s="28" t="str"/>
      <x:c r="M27" s="28"/>
      <x:c r="N27" s="28" t="str"/>
    </x:row>
    <x:row r="28">
      <x:c r="A28" s="28" t="str"/>
      <x:c r="B28" s="28" t="str"/>
      <x:c r="C28" s="28" t="str"/>
      <x:c r="D28" s="28"/>
      <x:c r="E28" s="28"/>
      <x:c r="F28" s="28"/>
      <x:c r="G28" s="28"/>
      <x:c r="H28" s="30"/>
      <x:c r="I28" s="32"/>
      <x:c r="J28" s="36"/>
      <x:c r="K28" s="38"/>
      <x:c r="L28" s="28" t="str"/>
      <x:c r="M28" s="28"/>
      <x:c r="N28" s="28" t="str"/>
    </x:row>
    <x:row r="30">
      <x:c r="A30" s="16" t="str">
        <x:v>Market summary</x:v>
      </x:c>
      <x:c r="B30" s="16" t="str"/>
      <x:c r="C30" s="16" t="str"/>
      <x:c r="D30" s="16" t="str"/>
      <x:c r="E30" s="16" t="str"/>
      <x:c r="F30" s="16" t="str"/>
      <x:c r="G30" s="16" t="str"/>
      <x:c r="H30" s="16" t="str"/>
      <x:c r="I30" s="16" t="str"/>
      <x:c r="J30" s="16" t="str"/>
      <x:c r="K30" s="16" t="str"/>
      <x:c r="L30" s="16" t="str"/>
      <x:c r="M30" s="16" t="str"/>
      <x:c r="N30" s="16" t="str"/>
    </x:row>
    <x:row r="31">
      <x:c r="A31" t="str">
        <x:v>Median ADR</x:v>
      </x:c>
      <x:c r="B31" t="str"/>
      <x:c r="C31" t="str"/>
      <x:c r="D31" t="str"/>
      <x:c r="E31" t="str"/>
      <x:c r="F31" t="str"/>
      <x:c r="G31" t="str"/>
      <x:c r="H31" s="48" t="n">
        <x:f>MEDIAN(H4:H28)</x:f>
        <x:v>475</x:v>
      </x:c>
      <x:c r="I31" t="str"/>
      <x:c r="J31" t="str"/>
      <x:c r="K31" t="str"/>
      <x:c r="L31" t="str"/>
      <x:c r="M31" t="str"/>
      <x:c r="N31" t="str"/>
    </x:row>
    <x:row r="32">
      <x:c r="A32" t="str">
        <x:v>Median occupancy</x:v>
      </x:c>
      <x:c r="B32" t="str"/>
      <x:c r="C32" t="str"/>
      <x:c r="D32" t="str"/>
      <x:c r="E32" t="str"/>
      <x:c r="F32" t="str"/>
      <x:c r="G32" t="str"/>
      <x:c r="H32" t="str"/>
      <x:c r="I32" s="50" t="n">
        <x:f>MEDIAN(I4:I28)</x:f>
        <x:v>0.55</x:v>
      </x:c>
      <x:c r="J32" t="str"/>
      <x:c r="K32" t="str"/>
      <x:c r="L32" t="str"/>
      <x:c r="M32" t="str"/>
      <x:c r="N32" t="str"/>
    </x:row>
    <x:row r="33">
      <x:c r="A33" t="str">
        <x:v>Median annual lodging revenue</x:v>
      </x:c>
      <x:c r="B33" t="str"/>
      <x:c r="C33" t="str"/>
      <x:c r="D33" t="str"/>
      <x:c r="E33" t="str"/>
      <x:c r="F33" t="str"/>
      <x:c r="G33" t="str"/>
      <x:c r="H33" t="str"/>
      <x:c r="I33" t="str"/>
      <x:c r="J33" t="str"/>
      <x:c r="K33" s="48" t="n">
        <x:f>MEDIAN(K4:K28)</x:f>
        <x:v>96177.5</x:v>
      </x:c>
      <x:c r="L33" t="str"/>
      <x:c r="M33" t="str"/>
      <x:c r="N33" t="str"/>
    </x:row>
    <x:row r="34">
      <x:c r="A34" t="str">
        <x:v>Weighted comp revenue</x:v>
      </x:c>
      <x:c r="B34" t="str"/>
      <x:c r="C34" t="str"/>
      <x:c r="D34" t="str"/>
      <x:c r="E34" t="str"/>
      <x:c r="F34" t="str"/>
      <x:c r="G34" t="str"/>
      <x:c r="H34" t="str"/>
      <x:c r="I34" t="str"/>
      <x:c r="J34" t="str"/>
      <x:c r="K34" s="48" t="n">
        <x:f>SUMPRODUCT(K4:K28,M4:M28)/SUM(M4:M28)</x:f>
        <x:v>97491.5</x:v>
      </x:c>
      <x:c r="L34" t="str"/>
      <x:c r="M34" t="str"/>
      <x:c r="N34" t="str"/>
    </x:row>
  </x:sheetData>
  <x:mergeCells>
    <x:mergeCell ref="A1:N1"/>
  </x:mergeCells>
  <x:dataValidations count="1">
    <x:dataValidation type="list" sqref="L4:L28">
      <x:formula1>"Yes,No,Maybe"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5" hidden="0" customWidth="1"/>
    <x:col min="3" max="3" width="34" hidden="0" customWidth="1"/>
    <x:col min="4" max="4" width="18" hidden="0" customWidth="1"/>
    <x:col min="5" max="5" width="22" hidden="0" customWidth="1"/>
    <x:col min="6" max="6" width="15" hidden="0" customWidth="1"/>
    <x:col min="7" max="7" width="15" hidden="0" customWidth="1"/>
    <x:col min="8" max="8" width="12" hidden="0" customWidth="1"/>
    <x:col min="9" max="9" width="14" hidden="0" customWidth="1"/>
    <x:col min="10" max="10" width="14" hidden="0" customWidth="1"/>
    <x:col min="11" max="11" width="16" hidden="0" customWidth="1"/>
    <x:col min="12" max="12" width="18" hidden="0" customWidth="1"/>
    <x:col min="13" max="13" width="18" hidden="0" customWidth="1"/>
    <x:col min="14" max="14" width="15" hidden="0" customWidth="1"/>
    <x:col min="15" max="15" width="18" hidden="0" customWidth="1"/>
    <x:col min="16" max="16" width="35" hidden="0" customWidth="1"/>
  </x:cols>
  <x:sheetData>
    <x:row r="1" ht="28" customHeight="1">
      <x:c r="A1" s="5" t="str">
        <x:v>Wedding Venue Market Comparables</x:v>
      </x:c>
      <x:c r="B1" s="5" t="str">
        <x:v>Wedding Venue Market Comparables</x:v>
      </x:c>
      <x:c r="C1" s="5" t="str">
        <x:v>Wedding Venue Market Comparables</x:v>
      </x:c>
      <x:c r="D1" s="5" t="str">
        <x:v>Wedding Venue Market Comparables</x:v>
      </x:c>
      <x:c r="E1" s="5" t="str">
        <x:v>Wedding Venue Market Comparables</x:v>
      </x:c>
      <x:c r="F1" s="5" t="str">
        <x:v>Wedding Venue Market Comparables</x:v>
      </x:c>
      <x:c r="G1" s="5" t="str">
        <x:v>Wedding Venue Market Comparables</x:v>
      </x:c>
      <x:c r="H1" s="5" t="str">
        <x:v>Wedding Venue Market Comparables</x:v>
      </x:c>
      <x:c r="I1" s="5" t="str">
        <x:v>Wedding Venue Market Comparables</x:v>
      </x:c>
      <x:c r="J1" s="5" t="str">
        <x:v>Wedding Venue Market Comparables</x:v>
      </x:c>
      <x:c r="K1" s="5" t="str">
        <x:v>Wedding Venue Market Comparables</x:v>
      </x:c>
      <x:c r="L1" s="5" t="str">
        <x:v>Wedding Venue Market Comparables</x:v>
      </x:c>
      <x:c r="M1" s="5" t="str">
        <x:v>Wedding Venue Market Comparables</x:v>
      </x:c>
      <x:c r="N1" s="5" t="str">
        <x:v>Wedding Venue Market Comparables</x:v>
      </x:c>
      <x:c r="O1" s="5" t="str">
        <x:v>Wedding Venue Market Comparables</x:v>
      </x:c>
      <x:c r="P1" s="5" t="str">
        <x:v>Wedding Venue Market Comparables</x:v>
      </x:c>
    </x:row>
    <x:row r="3">
      <x:c r="A3" s="22" t="str">
        <x:v>Venue</x:v>
      </x:c>
      <x:c r="B3" s="22" t="str">
        <x:v>Town</x:v>
      </x:c>
      <x:c r="C3" s="22" t="str">
        <x:v>Source URL</x:v>
      </x:c>
      <x:c r="D3" s="22" t="str">
        <x:v>Distance NYC (min)</x:v>
      </x:c>
      <x:c r="E3" s="22" t="str">
        <x:v>Hub / restaurants (min)</x:v>
      </x:c>
      <x:c r="F3" s="22" t="str">
        <x:v>Venue fee</x:v>
      </x:c>
      <x:c r="G3" s="22" t="str">
        <x:v>Guest capacity</x:v>
      </x:c>
      <x:c r="H3" s="22" t="str">
        <x:v>On-site beds</x:v>
      </x:c>
      <x:c r="I3" s="22" t="str">
        <x:v>Indoor backup</x:v>
      </x:c>
      <x:c r="J3" s="22" t="str">
        <x:v>Ceremony area</x:v>
      </x:c>
      <x:c r="K3" s="22" t="str">
        <x:v>Catering prep</x:v>
      </x:c>
      <x:c r="L3" s="22" t="str">
        <x:v>Parking / shuttle</x:v>
      </x:c>
      <x:c r="M3" s="22" t="str">
        <x:v>Noise / curfew fit</x:v>
      </x:c>
      <x:c r="N3" s="22" t="str">
        <x:v>Visual rating (1-5)</x:v>
      </x:c>
      <x:c r="O3" s="22" t="str">
        <x:v>Estimated weddings / yr</x:v>
      </x:c>
      <x:c r="P3" s="22" t="str">
        <x:v>Notes</x:v>
      </x:c>
    </x:row>
    <x:row r="4">
      <x:c r="A4" s="28" t="str">
        <x:v>Sample Venue A</x:v>
      </x:c>
      <x:c r="B4" s="28" t="str">
        <x:v>Hudson</x:v>
      </x:c>
      <x:c r="C4" s="28" t="str"/>
      <x:c r="D4" s="28" t="n">
        <x:v>125</x:v>
      </x:c>
      <x:c r="E4" s="28" t="n">
        <x:v>7</x:v>
      </x:c>
      <x:c r="F4" s="30" t="n">
        <x:v>14000</x:v>
      </x:c>
      <x:c r="G4" s="28" t="n">
        <x:v>150</x:v>
      </x:c>
      <x:c r="H4" s="28" t="n">
        <x:v>16</x:v>
      </x:c>
      <x:c r="I4" s="28" t="str">
        <x:v>Yes</x:v>
      </x:c>
      <x:c r="J4" s="28" t="str">
        <x:v>Yes</x:v>
      </x:c>
      <x:c r="K4" s="28" t="str">
        <x:v>Yes</x:v>
      </x:c>
      <x:c r="L4" s="28" t="str">
        <x:v>Adequate</x:v>
      </x:c>
      <x:c r="M4" s="28" t="str">
        <x:v>Good</x:v>
      </x:c>
      <x:c r="N4" s="28" t="n">
        <x:v>5</x:v>
      </x:c>
      <x:c r="O4" s="28" t="n">
        <x:v>24</x:v>
      </x:c>
      <x:c r="P4" s="28" t="str">
        <x:v>Replace with verified venue</x:v>
      </x:c>
    </x:row>
    <x:row r="5">
      <x:c r="A5" s="28" t="str">
        <x:v>Sample Venue B</x:v>
      </x:c>
      <x:c r="B5" s="28" t="str">
        <x:v>Kingston</x:v>
      </x:c>
      <x:c r="C5" s="28" t="str"/>
      <x:c r="D5" s="28" t="n">
        <x:v>115</x:v>
      </x:c>
      <x:c r="E5" s="28" t="n">
        <x:v>10</x:v>
      </x:c>
      <x:c r="F5" s="30" t="n">
        <x:v>9000</x:v>
      </x:c>
      <x:c r="G5" s="28" t="n">
        <x:v>100</x:v>
      </x:c>
      <x:c r="H5" s="28" t="n">
        <x:v>10</x:v>
      </x:c>
      <x:c r="I5" s="28" t="str">
        <x:v>Limited</x:v>
      </x:c>
      <x:c r="J5" s="28" t="str">
        <x:v>Yes</x:v>
      </x:c>
      <x:c r="K5" s="28" t="str">
        <x:v>Limited</x:v>
      </x:c>
      <x:c r="L5" s="28" t="str">
        <x:v>Shuttle</x:v>
      </x:c>
      <x:c r="M5" s="28" t="str">
        <x:v>Moderate</x:v>
      </x:c>
      <x:c r="N5" s="28" t="n">
        <x:v>4</x:v>
      </x:c>
      <x:c r="O5" s="28" t="n">
        <x:v>18</x:v>
      </x:c>
      <x:c r="P5" s="28" t="str">
        <x:v>Replace with verified venue</x:v>
      </x:c>
    </x:row>
    <x:row r="6">
      <x:c r="A6" s="28" t="str">
        <x:v>Sample Venue C</x:v>
      </x:c>
      <x:c r="B6" s="28" t="str">
        <x:v>New Paltz</x:v>
      </x:c>
      <x:c r="C6" s="28" t="str"/>
      <x:c r="D6" s="28" t="n">
        <x:v>105</x:v>
      </x:c>
      <x:c r="E6" s="28" t="n">
        <x:v>5</x:v>
      </x:c>
      <x:c r="F6" s="30" t="n">
        <x:v>18000</x:v>
      </x:c>
      <x:c r="G6" s="28" t="n">
        <x:v>180</x:v>
      </x:c>
      <x:c r="H6" s="28" t="n">
        <x:v>20</x:v>
      </x:c>
      <x:c r="I6" s="28" t="str">
        <x:v>Yes</x:v>
      </x:c>
      <x:c r="J6" s="28" t="str">
        <x:v>Yes</x:v>
      </x:c>
      <x:c r="K6" s="28" t="str">
        <x:v>Yes</x:v>
      </x:c>
      <x:c r="L6" s="28" t="str">
        <x:v>Adequate</x:v>
      </x:c>
      <x:c r="M6" s="28" t="str">
        <x:v>Good</x:v>
      </x:c>
      <x:c r="N6" s="28" t="n">
        <x:v>5</x:v>
      </x:c>
      <x:c r="O6" s="28" t="n">
        <x:v>30</x:v>
      </x:c>
      <x:c r="P6" s="28" t="str">
        <x:v>Replace with verified venue</x:v>
      </x:c>
    </x:row>
    <x:row r="7">
      <x:c r="A7" s="28" t="str">
        <x:v>Sample Venue D</x:v>
      </x:c>
      <x:c r="B7" s="28" t="str">
        <x:v>Catskills</x:v>
      </x:c>
      <x:c r="C7" s="28" t="str"/>
      <x:c r="D7" s="28" t="n">
        <x:v>150</x:v>
      </x:c>
      <x:c r="E7" s="28" t="n">
        <x:v>25</x:v>
      </x:c>
      <x:c r="F7" s="30" t="n">
        <x:v>12000</x:v>
      </x:c>
      <x:c r="G7" s="28" t="n">
        <x:v>120</x:v>
      </x:c>
      <x:c r="H7" s="28" t="n">
        <x:v>24</x:v>
      </x:c>
      <x:c r="I7" s="28" t="str">
        <x:v>Tent</x:v>
      </x:c>
      <x:c r="J7" s="28" t="str">
        <x:v>Yes</x:v>
      </x:c>
      <x:c r="K7" s="28" t="str">
        <x:v>Yes</x:v>
      </x:c>
      <x:c r="L7" s="28" t="str">
        <x:v>Good</x:v>
      </x:c>
      <x:c r="M7" s="28" t="str">
        <x:v>Good</x:v>
      </x:c>
      <x:c r="N7" s="28" t="n">
        <x:v>5</x:v>
      </x:c>
      <x:c r="O7" s="28" t="n">
        <x:v>20</x:v>
      </x:c>
      <x:c r="P7" s="28" t="str">
        <x:v>Replace with verified venue</x:v>
      </x:c>
    </x:row>
    <x:row r="8">
      <x:c r="A8" s="28" t="str"/>
      <x:c r="B8" s="28" t="str"/>
      <x:c r="C8" s="28" t="str"/>
      <x:c r="D8" s="28"/>
      <x:c r="E8" s="28"/>
      <x:c r="F8" s="30"/>
      <x:c r="G8" s="28"/>
      <x:c r="H8" s="28"/>
      <x:c r="I8" s="28" t="str"/>
      <x:c r="J8" s="28" t="str"/>
      <x:c r="K8" s="28" t="str"/>
      <x:c r="L8" s="28" t="str"/>
      <x:c r="M8" s="28" t="str"/>
      <x:c r="N8" s="28"/>
      <x:c r="O8" s="28"/>
      <x:c r="P8" s="28" t="str"/>
    </x:row>
    <x:row r="9">
      <x:c r="A9" s="28" t="str"/>
      <x:c r="B9" s="28" t="str"/>
      <x:c r="C9" s="28" t="str"/>
      <x:c r="D9" s="28"/>
      <x:c r="E9" s="28"/>
      <x:c r="F9" s="30"/>
      <x:c r="G9" s="28"/>
      <x:c r="H9" s="28"/>
      <x:c r="I9" s="28" t="str"/>
      <x:c r="J9" s="28" t="str"/>
      <x:c r="K9" s="28" t="str"/>
      <x:c r="L9" s="28" t="str"/>
      <x:c r="M9" s="28" t="str"/>
      <x:c r="N9" s="28"/>
      <x:c r="O9" s="28"/>
      <x:c r="P9" s="28" t="str"/>
    </x:row>
    <x:row r="10">
      <x:c r="A10" s="28" t="str"/>
      <x:c r="B10" s="28" t="str"/>
      <x:c r="C10" s="28" t="str"/>
      <x:c r="D10" s="28"/>
      <x:c r="E10" s="28"/>
      <x:c r="F10" s="30"/>
      <x:c r="G10" s="28"/>
      <x:c r="H10" s="28"/>
      <x:c r="I10" s="28" t="str"/>
      <x:c r="J10" s="28" t="str"/>
      <x:c r="K10" s="28" t="str"/>
      <x:c r="L10" s="28" t="str"/>
      <x:c r="M10" s="28" t="str"/>
      <x:c r="N10" s="28"/>
      <x:c r="O10" s="28"/>
      <x:c r="P10" s="28" t="str"/>
    </x:row>
    <x:row r="11">
      <x:c r="A11" s="28" t="str"/>
      <x:c r="B11" s="28" t="str"/>
      <x:c r="C11" s="28" t="str"/>
      <x:c r="D11" s="28"/>
      <x:c r="E11" s="28"/>
      <x:c r="F11" s="30"/>
      <x:c r="G11" s="28"/>
      <x:c r="H11" s="28"/>
      <x:c r="I11" s="28" t="str"/>
      <x:c r="J11" s="28" t="str"/>
      <x:c r="K11" s="28" t="str"/>
      <x:c r="L11" s="28" t="str"/>
      <x:c r="M11" s="28" t="str"/>
      <x:c r="N11" s="28"/>
      <x:c r="O11" s="28"/>
      <x:c r="P11" s="28" t="str"/>
    </x:row>
    <x:row r="12">
      <x:c r="A12" s="28" t="str"/>
      <x:c r="B12" s="28" t="str"/>
      <x:c r="C12" s="28" t="str"/>
      <x:c r="D12" s="28"/>
      <x:c r="E12" s="28"/>
      <x:c r="F12" s="30"/>
      <x:c r="G12" s="28"/>
      <x:c r="H12" s="28"/>
      <x:c r="I12" s="28" t="str"/>
      <x:c r="J12" s="28" t="str"/>
      <x:c r="K12" s="28" t="str"/>
      <x:c r="L12" s="28" t="str"/>
      <x:c r="M12" s="28" t="str"/>
      <x:c r="N12" s="28"/>
      <x:c r="O12" s="28"/>
      <x:c r="P12" s="28" t="str"/>
    </x:row>
    <x:row r="13">
      <x:c r="A13" s="28" t="str"/>
      <x:c r="B13" s="28" t="str"/>
      <x:c r="C13" s="28" t="str"/>
      <x:c r="D13" s="28"/>
      <x:c r="E13" s="28"/>
      <x:c r="F13" s="30"/>
      <x:c r="G13" s="28"/>
      <x:c r="H13" s="28"/>
      <x:c r="I13" s="28" t="str"/>
      <x:c r="J13" s="28" t="str"/>
      <x:c r="K13" s="28" t="str"/>
      <x:c r="L13" s="28" t="str"/>
      <x:c r="M13" s="28" t="str"/>
      <x:c r="N13" s="28"/>
      <x:c r="O13" s="28"/>
      <x:c r="P13" s="28" t="str"/>
    </x:row>
    <x:row r="14">
      <x:c r="A14" s="28" t="str"/>
      <x:c r="B14" s="28" t="str"/>
      <x:c r="C14" s="28" t="str"/>
      <x:c r="D14" s="28"/>
      <x:c r="E14" s="28"/>
      <x:c r="F14" s="30"/>
      <x:c r="G14" s="28"/>
      <x:c r="H14" s="28"/>
      <x:c r="I14" s="28" t="str"/>
      <x:c r="J14" s="28" t="str"/>
      <x:c r="K14" s="28" t="str"/>
      <x:c r="L14" s="28" t="str"/>
      <x:c r="M14" s="28" t="str"/>
      <x:c r="N14" s="28"/>
      <x:c r="O14" s="28"/>
      <x:c r="P14" s="28" t="str"/>
    </x:row>
    <x:row r="15">
      <x:c r="A15" s="28" t="str"/>
      <x:c r="B15" s="28" t="str"/>
      <x:c r="C15" s="28" t="str"/>
      <x:c r="D15" s="28"/>
      <x:c r="E15" s="28"/>
      <x:c r="F15" s="30"/>
      <x:c r="G15" s="28"/>
      <x:c r="H15" s="28"/>
      <x:c r="I15" s="28" t="str"/>
      <x:c r="J15" s="28" t="str"/>
      <x:c r="K15" s="28" t="str"/>
      <x:c r="L15" s="28" t="str"/>
      <x:c r="M15" s="28" t="str"/>
      <x:c r="N15" s="28"/>
      <x:c r="O15" s="28"/>
      <x:c r="P15" s="28" t="str"/>
    </x:row>
    <x:row r="16">
      <x:c r="A16" s="28" t="str"/>
      <x:c r="B16" s="28" t="str"/>
      <x:c r="C16" s="28" t="str"/>
      <x:c r="D16" s="28"/>
      <x:c r="E16" s="28"/>
      <x:c r="F16" s="30"/>
      <x:c r="G16" s="28"/>
      <x:c r="H16" s="28"/>
      <x:c r="I16" s="28" t="str"/>
      <x:c r="J16" s="28" t="str"/>
      <x:c r="K16" s="28" t="str"/>
      <x:c r="L16" s="28" t="str"/>
      <x:c r="M16" s="28" t="str"/>
      <x:c r="N16" s="28"/>
      <x:c r="O16" s="28"/>
      <x:c r="P16" s="28" t="str"/>
    </x:row>
    <x:row r="17">
      <x:c r="A17" s="28" t="str"/>
      <x:c r="B17" s="28" t="str"/>
      <x:c r="C17" s="28" t="str"/>
      <x:c r="D17" s="28"/>
      <x:c r="E17" s="28"/>
      <x:c r="F17" s="30"/>
      <x:c r="G17" s="28"/>
      <x:c r="H17" s="28"/>
      <x:c r="I17" s="28" t="str"/>
      <x:c r="J17" s="28" t="str"/>
      <x:c r="K17" s="28" t="str"/>
      <x:c r="L17" s="28" t="str"/>
      <x:c r="M17" s="28" t="str"/>
      <x:c r="N17" s="28"/>
      <x:c r="O17" s="28"/>
      <x:c r="P17" s="28" t="str"/>
    </x:row>
    <x:row r="18">
      <x:c r="A18" s="28" t="str"/>
      <x:c r="B18" s="28" t="str"/>
      <x:c r="C18" s="28" t="str"/>
      <x:c r="D18" s="28"/>
      <x:c r="E18" s="28"/>
      <x:c r="F18" s="30"/>
      <x:c r="G18" s="28"/>
      <x:c r="H18" s="28"/>
      <x:c r="I18" s="28" t="str"/>
      <x:c r="J18" s="28" t="str"/>
      <x:c r="K18" s="28" t="str"/>
      <x:c r="L18" s="28" t="str"/>
      <x:c r="M18" s="28" t="str"/>
      <x:c r="N18" s="28"/>
      <x:c r="O18" s="28"/>
      <x:c r="P18" s="28" t="str"/>
    </x:row>
    <x:row r="19">
      <x:c r="A19" s="28" t="str"/>
      <x:c r="B19" s="28" t="str"/>
      <x:c r="C19" s="28" t="str"/>
      <x:c r="D19" s="28"/>
      <x:c r="E19" s="28"/>
      <x:c r="F19" s="30"/>
      <x:c r="G19" s="28"/>
      <x:c r="H19" s="28"/>
      <x:c r="I19" s="28" t="str"/>
      <x:c r="J19" s="28" t="str"/>
      <x:c r="K19" s="28" t="str"/>
      <x:c r="L19" s="28" t="str"/>
      <x:c r="M19" s="28" t="str"/>
      <x:c r="N19" s="28"/>
      <x:c r="O19" s="28"/>
      <x:c r="P19" s="28" t="str"/>
    </x:row>
    <x:row r="20">
      <x:c r="A20" s="28" t="str"/>
      <x:c r="B20" s="28" t="str"/>
      <x:c r="C20" s="28" t="str"/>
      <x:c r="D20" s="28"/>
      <x:c r="E20" s="28"/>
      <x:c r="F20" s="30"/>
      <x:c r="G20" s="28"/>
      <x:c r="H20" s="28"/>
      <x:c r="I20" s="28" t="str"/>
      <x:c r="J20" s="28" t="str"/>
      <x:c r="K20" s="28" t="str"/>
      <x:c r="L20" s="28" t="str"/>
      <x:c r="M20" s="28" t="str"/>
      <x:c r="N20" s="28"/>
      <x:c r="O20" s="28"/>
      <x:c r="P20" s="28" t="str"/>
    </x:row>
    <x:row r="21">
      <x:c r="A21" s="28" t="str"/>
      <x:c r="B21" s="28" t="str"/>
      <x:c r="C21" s="28" t="str"/>
      <x:c r="D21" s="28"/>
      <x:c r="E21" s="28"/>
      <x:c r="F21" s="30"/>
      <x:c r="G21" s="28"/>
      <x:c r="H21" s="28"/>
      <x:c r="I21" s="28" t="str"/>
      <x:c r="J21" s="28" t="str"/>
      <x:c r="K21" s="28" t="str"/>
      <x:c r="L21" s="28" t="str"/>
      <x:c r="M21" s="28" t="str"/>
      <x:c r="N21" s="28"/>
      <x:c r="O21" s="28"/>
      <x:c r="P21" s="28" t="str"/>
    </x:row>
    <x:row r="22">
      <x:c r="A22" s="28" t="str"/>
      <x:c r="B22" s="28" t="str"/>
      <x:c r="C22" s="28" t="str"/>
      <x:c r="D22" s="28"/>
      <x:c r="E22" s="28"/>
      <x:c r="F22" s="30"/>
      <x:c r="G22" s="28"/>
      <x:c r="H22" s="28"/>
      <x:c r="I22" s="28" t="str"/>
      <x:c r="J22" s="28" t="str"/>
      <x:c r="K22" s="28" t="str"/>
      <x:c r="L22" s="28" t="str"/>
      <x:c r="M22" s="28" t="str"/>
      <x:c r="N22" s="28"/>
      <x:c r="O22" s="28"/>
      <x:c r="P22" s="28" t="str"/>
    </x:row>
    <x:row r="23">
      <x:c r="A23" s="28" t="str"/>
      <x:c r="B23" s="28" t="str"/>
      <x:c r="C23" s="28" t="str"/>
      <x:c r="D23" s="28"/>
      <x:c r="E23" s="28"/>
      <x:c r="F23" s="30"/>
      <x:c r="G23" s="28"/>
      <x:c r="H23" s="28"/>
      <x:c r="I23" s="28" t="str"/>
      <x:c r="J23" s="28" t="str"/>
      <x:c r="K23" s="28" t="str"/>
      <x:c r="L23" s="28" t="str"/>
      <x:c r="M23" s="28" t="str"/>
      <x:c r="N23" s="28"/>
      <x:c r="O23" s="28"/>
      <x:c r="P23" s="28" t="str"/>
    </x:row>
    <x:row r="24">
      <x:c r="A24" s="28" t="str"/>
      <x:c r="B24" s="28" t="str"/>
      <x:c r="C24" s="28" t="str"/>
      <x:c r="D24" s="28"/>
      <x:c r="E24" s="28"/>
      <x:c r="F24" s="30"/>
      <x:c r="G24" s="28"/>
      <x:c r="H24" s="28"/>
      <x:c r="I24" s="28" t="str"/>
      <x:c r="J24" s="28" t="str"/>
      <x:c r="K24" s="28" t="str"/>
      <x:c r="L24" s="28" t="str"/>
      <x:c r="M24" s="28" t="str"/>
      <x:c r="N24" s="28"/>
      <x:c r="O24" s="28"/>
      <x:c r="P24" s="28" t="str"/>
    </x:row>
    <x:row r="25">
      <x:c r="A25" s="28" t="str"/>
      <x:c r="B25" s="28" t="str"/>
      <x:c r="C25" s="28" t="str"/>
      <x:c r="D25" s="28"/>
      <x:c r="E25" s="28"/>
      <x:c r="F25" s="30"/>
      <x:c r="G25" s="28"/>
      <x:c r="H25" s="28"/>
      <x:c r="I25" s="28" t="str"/>
      <x:c r="J25" s="28" t="str"/>
      <x:c r="K25" s="28" t="str"/>
      <x:c r="L25" s="28" t="str"/>
      <x:c r="M25" s="28" t="str"/>
      <x:c r="N25" s="28"/>
      <x:c r="O25" s="28"/>
      <x:c r="P25" s="28" t="str"/>
    </x:row>
    <x:row r="26">
      <x:c r="A26" s="28" t="str"/>
      <x:c r="B26" s="28" t="str"/>
      <x:c r="C26" s="28" t="str"/>
      <x:c r="D26" s="28"/>
      <x:c r="E26" s="28"/>
      <x:c r="F26" s="30"/>
      <x:c r="G26" s="28"/>
      <x:c r="H26" s="28"/>
      <x:c r="I26" s="28" t="str"/>
      <x:c r="J26" s="28" t="str"/>
      <x:c r="K26" s="28" t="str"/>
      <x:c r="L26" s="28" t="str"/>
      <x:c r="M26" s="28" t="str"/>
      <x:c r="N26" s="28"/>
      <x:c r="O26" s="28"/>
      <x:c r="P26" s="28" t="str"/>
    </x:row>
    <x:row r="27">
      <x:c r="A27" s="28" t="str"/>
      <x:c r="B27" s="28" t="str"/>
      <x:c r="C27" s="28" t="str"/>
      <x:c r="D27" s="28"/>
      <x:c r="E27" s="28"/>
      <x:c r="F27" s="30"/>
      <x:c r="G27" s="28"/>
      <x:c r="H27" s="28"/>
      <x:c r="I27" s="28" t="str"/>
      <x:c r="J27" s="28" t="str"/>
      <x:c r="K27" s="28" t="str"/>
      <x:c r="L27" s="28" t="str"/>
      <x:c r="M27" s="28" t="str"/>
      <x:c r="N27" s="28"/>
      <x:c r="O27" s="28"/>
      <x:c r="P27" s="28" t="str"/>
    </x:row>
    <x:row r="29">
      <x:c r="A29" s="16" t="str">
        <x:v>Wedding market summary</x:v>
      </x:c>
      <x:c r="B29" s="16" t="str"/>
      <x:c r="C29" s="16" t="str"/>
      <x:c r="D29" s="16" t="str"/>
      <x:c r="E29" s="16" t="str"/>
      <x:c r="F29" s="16" t="str"/>
      <x:c r="G29" s="16" t="str"/>
      <x:c r="H29" s="16" t="str"/>
      <x:c r="I29" s="16" t="str"/>
      <x:c r="J29" s="16" t="str"/>
      <x:c r="K29" s="16" t="str"/>
      <x:c r="L29" s="16" t="str"/>
      <x:c r="M29" s="16" t="str"/>
      <x:c r="N29" s="16" t="str"/>
      <x:c r="O29" s="16" t="str"/>
      <x:c r="P29" s="16" t="str"/>
    </x:row>
    <x:row r="30">
      <x:c r="A30" t="str">
        <x:v>Median venue fee</x:v>
      </x:c>
      <x:c r="B30" t="str"/>
      <x:c r="C30" t="str"/>
      <x:c r="D30" t="str"/>
      <x:c r="E30" t="str"/>
      <x:c r="F30" s="48" t="n">
        <x:f>MEDIAN(F4:F27)</x:f>
        <x:v>13000</x:v>
      </x:c>
      <x:c r="G30" t="str"/>
      <x:c r="H30" t="str"/>
      <x:c r="I30" t="str"/>
      <x:c r="J30" t="str"/>
      <x:c r="K30" t="str"/>
      <x:c r="L30" t="str"/>
      <x:c r="M30" t="str"/>
      <x:c r="N30" t="str"/>
      <x:c r="O30" t="str"/>
      <x:c r="P30" t="str"/>
    </x:row>
    <x:row r="31">
      <x:c r="A31" t="str">
        <x:v>Median guest capacity</x:v>
      </x:c>
      <x:c r="B31" t="str"/>
      <x:c r="C31" t="str"/>
      <x:c r="D31" t="str"/>
      <x:c r="E31" t="str"/>
      <x:c r="F31" t="str"/>
      <x:c r="G31" t="n">
        <x:f>MEDIAN(G4:G27)</x:f>
        <x:v>135</x:v>
      </x:c>
      <x:c r="H31" t="str"/>
      <x:c r="I31" t="str"/>
      <x:c r="J31" t="str"/>
      <x:c r="K31" t="str"/>
      <x:c r="L31" t="str"/>
      <x:c r="M31" t="str"/>
      <x:c r="N31" t="str"/>
      <x:c r="O31" t="str"/>
      <x:c r="P31" t="str"/>
    </x:row>
    <x:row r="32">
      <x:c r="A32" t="str">
        <x:v>Median weddings / year</x:v>
      </x:c>
      <x:c r="B32" t="str"/>
      <x:c r="C32" t="str"/>
      <x:c r="D32" t="str"/>
      <x:c r="E32" t="str"/>
      <x:c r="F32" t="str"/>
      <x:c r="G32" t="str"/>
      <x:c r="H32" t="str"/>
      <x:c r="I32" t="str"/>
      <x:c r="J32" t="str"/>
      <x:c r="K32" t="str"/>
      <x:c r="L32" t="str"/>
      <x:c r="M32" t="str"/>
      <x:c r="N32" t="str"/>
      <x:c r="O32" t="n">
        <x:f>MEDIAN(O4:O27)</x:f>
        <x:v>22</x:v>
      </x:c>
      <x:c r="P32" t="str"/>
    </x:row>
    <x:row r="33">
      <x:c r="A33" t="str">
        <x:v>Weighted venue fee</x:v>
      </x:c>
      <x:c r="B33" t="str"/>
      <x:c r="C33" t="str"/>
      <x:c r="D33" t="str"/>
      <x:c r="E33" t="str"/>
      <x:c r="F33" s="48" t="n">
        <x:f>SUMPRODUCT(F4:F27,N4:N27)/SUM(N4:N27)</x:f>
        <x:v>13473.684210526315</x:v>
      </x:c>
      <x:c r="G33" t="str"/>
      <x:c r="H33" t="str"/>
      <x:c r="I33" t="str"/>
      <x:c r="J33" t="str"/>
      <x:c r="K33" t="str"/>
      <x:c r="L33" t="str"/>
      <x:c r="M33" t="str"/>
      <x:c r="N33" t="str"/>
      <x:c r="O33" t="str"/>
      <x:c r="P33" t="str"/>
    </x:row>
  </x:sheetData>
  <x:mergeCells>
    <x:mergeCell ref="A1:P1"/>
  </x:mergeCells>
  <x:dataValidations count="3">
    <x:dataValidation type="list" sqref="I4:I27">
      <x:formula1>"Yes,Limited,No,Tent"</x:formula1>
    </x:dataValidation>
    <x:dataValidation type="list" sqref="J4:J27">
      <x:formula1>"Yes,Limited,No,Tent"</x:formula1>
    </x:dataValidation>
    <x:dataValidation type="list" sqref="K4:K27">
      <x:formula1>"Yes,Limited,No,Tent"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</x:cols>
  <x:sheetData>
    <x:row r="1" ht="28" customHeight="1">
      <x:c r="A1" s="5" t="str">
        <x:v>Candidate Property Scoring &amp; Ranking</x:v>
      </x:c>
      <x:c r="B1" s="5" t="str">
        <x:v>Candidate Property Scoring &amp; Ranking</x:v>
      </x:c>
      <x:c r="C1" s="5" t="str">
        <x:v>Candidate Property Scoring &amp; Ranking</x:v>
      </x:c>
      <x:c r="D1" s="5" t="str">
        <x:v>Candidate Property Scoring &amp; Ranking</x:v>
      </x:c>
      <x:c r="E1" s="5" t="str">
        <x:v>Candidate Property Scoring &amp; Ranking</x:v>
      </x:c>
      <x:c r="F1" s="5" t="str">
        <x:v>Candidate Property Scoring &amp; Ranking</x:v>
      </x:c>
      <x:c r="G1" s="5" t="str">
        <x:v>Candidate Property Scoring &amp; Ranking</x:v>
      </x:c>
      <x:c r="H1" s="5" t="str">
        <x:v>Candidate Property Scoring &amp; Ranking</x:v>
      </x:c>
      <x:c r="I1" s="5" t="str">
        <x:v>Candidate Property Scoring &amp; Ranking</x:v>
      </x:c>
      <x:c r="J1" s="5" t="str">
        <x:v>Candidate Property Scoring &amp; Ranking</x:v>
      </x:c>
      <x:c r="K1" s="5" t="str">
        <x:v>Candidate Property Scoring &amp; Ranking</x:v>
      </x:c>
      <x:c r="L1" s="5" t="str">
        <x:v>Candidate Property Scoring &amp; Ranking</x:v>
      </x:c>
      <x:c r="M1" s="5" t="str">
        <x:v>Candidate Property Scoring &amp; Ranking</x:v>
      </x:c>
      <x:c r="N1" s="5" t="str">
        <x:v>Candidate Property Scoring &amp; Ranking</x:v>
      </x:c>
      <x:c r="O1" s="5" t="str">
        <x:v>Candidate Property Scoring &amp; Ranking</x:v>
      </x:c>
      <x:c r="P1" s="5" t="str">
        <x:v>Candidate Property Scoring &amp; Ranking</x:v>
      </x:c>
      <x:c r="Q1" s="5" t="str">
        <x:v>Candidate Property Scoring &amp; Ranking</x:v>
      </x:c>
      <x:c r="R1" s="5" t="str">
        <x:v>Candidate Property Scoring &amp; Ranking</x:v>
      </x:c>
      <x:c r="S1" s="5" t="str">
        <x:v>Candidate Property Scoring &amp; Ranking</x:v>
      </x:c>
      <x:c r="T1" s="5" t="str">
        <x:v>Candidate Property Scoring &amp; Ranking</x:v>
      </x:c>
      <x:c r="U1" s="5" t="str">
        <x:v>Candidate Property Scoring &amp; Ranking</x:v>
      </x:c>
      <x:c r="V1" s="5" t="str">
        <x:v>Candidate Property Scoring &amp; Ranking</x:v>
      </x:c>
      <x:c r="W1" s="5" t="str">
        <x:v>Candidate Property Scoring &amp; Ranking</x:v>
      </x:c>
      <x:c r="X1" s="5" t="str">
        <x:v>Candidate Property Scoring &amp; Ranking</x:v>
      </x:c>
      <x:c r="Y1" s="5" t="str">
        <x:v>Candidate Property Scoring &amp; Ranking</x:v>
      </x:c>
      <x:c r="Z1" s="5" t="str">
        <x:v>Candidate Property Scoring &amp; Ranking</x:v>
      </x:c>
      <x:c r="AA1" s="5" t="str">
        <x:v>Candidate Property Scoring &amp; Ranking</x:v>
      </x:c>
    </x:row>
    <x:row r="3">
      <x:c r="A3" s="22" t="str">
        <x:v>Property</x:v>
      </x:c>
      <x:c r="B3" s="22" t="str">
        <x:v>Town</x:v>
      </x:c>
      <x:c r="C3" s="22" t="str">
        <x:v>Asking price</x:v>
      </x:c>
      <x:c r="D3" s="22" t="str">
        <x:v>Renovation</x:v>
      </x:c>
      <x:c r="E3" s="22" t="str">
        <x:v>Distance NYC (min)</x:v>
      </x:c>
      <x:c r="F3" s="22" t="str">
        <x:v>Hub proximity (min)</x:v>
      </x:c>
      <x:c r="G3" s="22" t="str">
        <x:v>STR legal score</x:v>
      </x:c>
      <x:c r="H3" s="22" t="str">
        <x:v>Event legal score</x:v>
      </x:c>
      <x:c r="I3" s="22" t="str">
        <x:v>Bedrooms</x:v>
      </x:c>
      <x:c r="J3" s="22" t="str">
        <x:v>Guest capacity</x:v>
      </x:c>
      <x:c r="K3" s="22" t="str">
        <x:v>Wedding capacity</x:v>
      </x:c>
      <x:c r="L3" s="22" t="str">
        <x:v>On-site beds</x:v>
      </x:c>
      <x:c r="M3" s="22" t="str">
        <x:v>Indoor backup</x:v>
      </x:c>
      <x:c r="N3" s="22" t="str">
        <x:v>Parking / shuttle</x:v>
      </x:c>
      <x:c r="O3" s="22" t="str">
        <x:v>Catering prep</x:v>
      </x:c>
      <x:c r="P3" s="22" t="str">
        <x:v>Noise / curfew</x:v>
      </x:c>
      <x:c r="Q3" s="22" t="str">
        <x:v>Visual / photo appeal</x:v>
      </x:c>
      <x:c r="R3" s="22" t="str">
        <x:v>Shtick lead fit</x:v>
      </x:c>
      <x:c r="S3" s="22" t="str">
        <x:v>Market lodging revenue</x:v>
      </x:c>
      <x:c r="T3" s="22" t="str">
        <x:v>Market wedding fee</x:v>
      </x:c>
      <x:c r="U3" s="22" t="str">
        <x:v>Projected annual NOI</x:v>
      </x:c>
      <x:c r="V3" s="22" t="str">
        <x:v>Cash required</x:v>
      </x:c>
      <x:c r="W3" s="22" t="str">
        <x:v>10Y levered IRR</x:v>
      </x:c>
      <x:c r="X3" s="22" t="str">
        <x:v>Financial score</x:v>
      </x:c>
      <x:c r="Y3" s="22" t="str">
        <x:v>Access score</x:v>
      </x:c>
      <x:c r="Z3" s="22" t="str">
        <x:v>Wedding utility score</x:v>
      </x:c>
      <x:c r="AA3" s="22" t="str">
        <x:v>Legal / risk score</x:v>
      </x:c>
      <x:c r="AB3" s="22" t="str">
        <x:v>Overall score</x:v>
      </x:c>
      <x:c r="AC3" s="22" t="str">
        <x:v>Rank</x:v>
      </x:c>
    </x:row>
    <x:row r="4">
      <x:c r="A4" s="28" t="str">
        <x:v>Base Case Property</x:v>
      </x:c>
      <x:c r="B4" s="28" t="str">
        <x:v>TBD</x:v>
      </x:c>
      <x:c r="C4" s="30" t="n">
        <x:v>500000</x:v>
      </x:c>
      <x:c r="D4" s="30" t="n">
        <x:v>150000</x:v>
      </x:c>
      <x:c r="E4" s="28" t="n">
        <x:v>120</x:v>
      </x:c>
      <x:c r="F4" s="28" t="n">
        <x:v>12</x:v>
      </x:c>
      <x:c r="G4" s="28" t="n">
        <x:v>4</x:v>
      </x:c>
      <x:c r="H4" s="28" t="n">
        <x:v>4</x:v>
      </x:c>
      <x:c r="I4" s="28" t="n">
        <x:v>4</x:v>
      </x:c>
      <x:c r="J4" s="28" t="n">
        <x:v>10</x:v>
      </x:c>
      <x:c r="K4" s="28" t="n">
        <x:v>120</x:v>
      </x:c>
      <x:c r="L4" s="28" t="n">
        <x:v>12</x:v>
      </x:c>
      <x:c r="M4" s="28" t="n">
        <x:v>4</x:v>
      </x:c>
      <x:c r="N4" s="28" t="n">
        <x:v>4</x:v>
      </x:c>
      <x:c r="O4" s="28" t="n">
        <x:v>4</x:v>
      </x:c>
      <x:c r="P4" s="28" t="n">
        <x:v>4</x:v>
      </x:c>
      <x:c r="Q4" s="28" t="n">
        <x:v>4</x:v>
      </x:c>
      <x:c r="R4" s="28" t="n">
        <x:v>5</x:v>
      </x:c>
      <x:c r="S4" s="54" t="n">
        <x:f>'Market Comps'!K34</x:f>
        <x:v>97491.5</x:v>
      </x:c>
      <x:c r="T4" s="54" t="n">
        <x:f>'Wedding Comps'!F33</x:f>
        <x:v>13473.684210526315</x:v>
      </x:c>
      <x:c r="U4" s="54" t="n">
        <x:f>'Dashboard'!B17</x:f>
        <x:v>153448.58483464245</x:v>
      </x:c>
      <x:c r="V4" s="54" t="n">
        <x:f>'Acquisition Costs'!B19</x:f>
        <x:v>418000</x:v>
      </x:c>
      <x:c r="W4" s="56" t="n">
        <x:f>'10Y Projection'!N16</x:f>
        <x:v>0.10055779265961814</x:v>
      </x:c>
      <x:c r="X4" s="58" t="n">
        <x:f>IFERROR(MIN(100,MAX(0,(U4/MAX(1,$U$4:$U$24))*60+(W4/MAX(0.01,$W$4:$W$24))*40)),0)</x:f>
        <x:v>100</x:v>
      </x:c>
      <x:c r="Y4" s="58" t="n">
        <x:f>MAX(0,MIN(100,100-(E4-90)*1.2-(F4-5)*2))</x:f>
        <x:v>50</x:v>
      </x:c>
      <x:c r="Z4" s="58" t="n">
        <x:f>MAX(0,MIN(100,(K4/150)*25+(L4/20)*10+M4*8+N4*8+O4*8+P4*7+Q4*8+R4*8))</x:f>
        <x:v>100</x:v>
      </x:c>
      <x:c r="AA4" s="58" t="n">
        <x:f>MAX(0,MIN(100,G4*12.5+H4*12.5))</x:f>
        <x:v>100</x:v>
      </x:c>
      <x:c r="AB4" s="58" t="n">
        <x:f>X4*'Ranking Rules'!$C$4+Y4*'Ranking Rules'!$C$5+Z4*'Ranking Rules'!$C$6+AA4*'Ranking Rules'!$C$7</x:f>
        <x:v>92.5</x:v>
      </x:c>
      <x:c r="AC4" s="60" t="n">
        <x:f>IF(A4="","",1+COUNTIF($AB$4:$AB$24,"&gt;"&amp;AB4))</x:f>
        <x:v>1</x:v>
      </x:c>
    </x:row>
    <x:row r="5">
      <x:c r="A5" s="28" t="str"/>
      <x:c r="B5" s="28" t="str"/>
      <x:c r="C5" s="30"/>
      <x:c r="D5" s="30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  <x:c r="P5" s="28"/>
      <x:c r="Q5" s="28"/>
      <x:c r="R5" s="28"/>
      <x:c r="S5" s="54"/>
      <x:c r="T5" s="54"/>
      <x:c r="U5" s="54"/>
      <x:c r="V5" s="54"/>
      <x:c r="W5" s="56"/>
      <x:c r="X5" s="58" t="str">
        <x:f>IF(A5="","",IFERROR(MIN(100,MAX(0,(U5/MAX(1,$U$4:$U$24))*60+(W5/MAX(0.01,$W$4:$W$24))*40)),0))</x:f>
      </x:c>
      <x:c r="Y5" s="58" t="str">
        <x:f>IF(A5="","",MAX(0,MIN(100,100-(E5-90)*1.2-(F5-5)*2)))</x:f>
      </x:c>
      <x:c r="Z5" s="58" t="str">
        <x:f>IF(A5="","",MAX(0,MIN(100,(K5/150)*25+(L5/20)*10+M5*8+N5*8+O5*8+P5*7+Q5*8+R5*8)))</x:f>
      </x:c>
      <x:c r="AA5" s="58" t="str">
        <x:f>IF(A5="","",MAX(0,MIN(100,G5*12.5+H5*12.5)))</x:f>
      </x:c>
      <x:c r="AB5" s="58" t="n">
        <x:f>X5*'Ranking Rules'!$C$4+Y5*'Ranking Rules'!$C$5+Z5*'Ranking Rules'!$C$6+AA5*'Ranking Rules'!$C$7</x:f>
        <x:v>0</x:v>
      </x:c>
      <x:c r="AC5" s="60" t="str">
        <x:f>IF(A5="","",1+COUNTIF($AB$4:$AB$24,"&gt;"&amp;AB5))</x:f>
      </x:c>
    </x:row>
    <x:row r="6">
      <x:c r="A6" s="28" t="str"/>
      <x:c r="B6" s="28" t="str"/>
      <x:c r="C6" s="30"/>
      <x:c r="D6" s="30"/>
      <x:c r="E6" s="28"/>
      <x:c r="F6" s="28"/>
      <x:c r="G6" s="28"/>
      <x:c r="H6" s="28"/>
      <x:c r="I6" s="28"/>
      <x:c r="J6" s="28"/>
      <x:c r="K6" s="28"/>
      <x:c r="L6" s="28"/>
      <x:c r="M6" s="28"/>
      <x:c r="N6" s="28"/>
      <x:c r="O6" s="28"/>
      <x:c r="P6" s="28"/>
      <x:c r="Q6" s="28"/>
      <x:c r="R6" s="28"/>
      <x:c r="S6" s="54"/>
      <x:c r="T6" s="54"/>
      <x:c r="U6" s="54"/>
      <x:c r="V6" s="54"/>
      <x:c r="W6" s="56"/>
      <x:c r="X6" s="58" t="str">
        <x:f>IF(A6="","",IFERROR(MIN(100,MAX(0,(U6/MAX(1,$U$4:$U$24))*60+(W6/MAX(0.01,$W$4:$W$24))*40)),0))</x:f>
      </x:c>
      <x:c r="Y6" s="58" t="str">
        <x:f>IF(A6="","",MAX(0,MIN(100,100-(E6-90)*1.2-(F6-5)*2)))</x:f>
      </x:c>
      <x:c r="Z6" s="58" t="str">
        <x:f>IF(A6="","",MAX(0,MIN(100,(K6/150)*25+(L6/20)*10+M6*8+N6*8+O6*8+P6*7+Q6*8+R6*8)))</x:f>
      </x:c>
      <x:c r="AA6" s="58" t="str">
        <x:f>IF(A6="","",MAX(0,MIN(100,G6*12.5+H6*12.5)))</x:f>
      </x:c>
      <x:c r="AB6" s="58" t="n">
        <x:f>X6*'Ranking Rules'!$C$4+Y6*'Ranking Rules'!$C$5+Z6*'Ranking Rules'!$C$6+AA6*'Ranking Rules'!$C$7</x:f>
        <x:v>0</x:v>
      </x:c>
      <x:c r="AC6" s="60" t="str">
        <x:f>IF(A6="","",1+COUNTIF($AB$4:$AB$24,"&gt;"&amp;AB6))</x:f>
      </x:c>
    </x:row>
    <x:row r="7">
      <x:c r="A7" s="28" t="str"/>
      <x:c r="B7" s="28" t="str"/>
      <x:c r="C7" s="30"/>
      <x:c r="D7" s="30"/>
      <x:c r="E7" s="28"/>
      <x:c r="F7" s="28"/>
      <x:c r="G7" s="28"/>
      <x:c r="H7" s="28"/>
      <x:c r="I7" s="28"/>
      <x:c r="J7" s="28"/>
      <x:c r="K7" s="28"/>
      <x:c r="L7" s="28"/>
      <x:c r="M7" s="28"/>
      <x:c r="N7" s="28"/>
      <x:c r="O7" s="28"/>
      <x:c r="P7" s="28"/>
      <x:c r="Q7" s="28"/>
      <x:c r="R7" s="28"/>
      <x:c r="S7" s="54"/>
      <x:c r="T7" s="54"/>
      <x:c r="U7" s="54"/>
      <x:c r="V7" s="54"/>
      <x:c r="W7" s="56"/>
      <x:c r="X7" s="58" t="str">
        <x:f>IF(A7="","",IFERROR(MIN(100,MAX(0,(U7/MAX(1,$U$4:$U$24))*60+(W7/MAX(0.01,$W$4:$W$24))*40)),0))</x:f>
      </x:c>
      <x:c r="Y7" s="58" t="str">
        <x:f>IF(A7="","",MAX(0,MIN(100,100-(E7-90)*1.2-(F7-5)*2)))</x:f>
      </x:c>
      <x:c r="Z7" s="58" t="str">
        <x:f>IF(A7="","",MAX(0,MIN(100,(K7/150)*25+(L7/20)*10+M7*8+N7*8+O7*8+P7*7+Q7*8+R7*8)))</x:f>
      </x:c>
      <x:c r="AA7" s="58" t="str">
        <x:f>IF(A7="","",MAX(0,MIN(100,G7*12.5+H7*12.5)))</x:f>
      </x:c>
      <x:c r="AB7" s="58" t="n">
        <x:f>X7*'Ranking Rules'!$C$4+Y7*'Ranking Rules'!$C$5+Z7*'Ranking Rules'!$C$6+AA7*'Ranking Rules'!$C$7</x:f>
        <x:v>0</x:v>
      </x:c>
      <x:c r="AC7" s="60" t="str">
        <x:f>IF(A7="","",1+COUNTIF($AB$4:$AB$24,"&gt;"&amp;AB7))</x:f>
      </x:c>
    </x:row>
    <x:row r="8">
      <x:c r="A8" s="28" t="str"/>
      <x:c r="B8" s="28" t="str"/>
      <x:c r="C8" s="30"/>
      <x:c r="D8" s="30"/>
      <x:c r="E8" s="28"/>
      <x:c r="F8" s="28"/>
      <x:c r="G8" s="28"/>
      <x:c r="H8" s="28"/>
      <x:c r="I8" s="28"/>
      <x:c r="J8" s="28"/>
      <x:c r="K8" s="28"/>
      <x:c r="L8" s="28"/>
      <x:c r="M8" s="28"/>
      <x:c r="N8" s="28"/>
      <x:c r="O8" s="28"/>
      <x:c r="P8" s="28"/>
      <x:c r="Q8" s="28"/>
      <x:c r="R8" s="28"/>
      <x:c r="S8" s="54"/>
      <x:c r="T8" s="54"/>
      <x:c r="U8" s="54"/>
      <x:c r="V8" s="54"/>
      <x:c r="W8" s="56"/>
      <x:c r="X8" s="58" t="str">
        <x:f>IF(A8="","",IFERROR(MIN(100,MAX(0,(U8/MAX(1,$U$4:$U$24))*60+(W8/MAX(0.01,$W$4:$W$24))*40)),0))</x:f>
      </x:c>
      <x:c r="Y8" s="58" t="str">
        <x:f>IF(A8="","",MAX(0,MIN(100,100-(E8-90)*1.2-(F8-5)*2)))</x:f>
      </x:c>
      <x:c r="Z8" s="58" t="str">
        <x:f>IF(A8="","",MAX(0,MIN(100,(K8/150)*25+(L8/20)*10+M8*8+N8*8+O8*8+P8*7+Q8*8+R8*8)))</x:f>
      </x:c>
      <x:c r="AA8" s="58" t="str">
        <x:f>IF(A8="","",MAX(0,MIN(100,G8*12.5+H8*12.5)))</x:f>
      </x:c>
      <x:c r="AB8" s="58" t="n">
        <x:f>X8*'Ranking Rules'!$C$4+Y8*'Ranking Rules'!$C$5+Z8*'Ranking Rules'!$C$6+AA8*'Ranking Rules'!$C$7</x:f>
        <x:v>0</x:v>
      </x:c>
      <x:c r="AC8" s="60" t="str">
        <x:f>IF(A8="","",1+COUNTIF($AB$4:$AB$24,"&gt;"&amp;AB8))</x:f>
      </x:c>
    </x:row>
    <x:row r="9">
      <x:c r="A9" s="28" t="str"/>
      <x:c r="B9" s="28" t="str"/>
      <x:c r="C9" s="30"/>
      <x:c r="D9" s="30"/>
      <x:c r="E9" s="28"/>
      <x:c r="F9" s="28"/>
      <x:c r="G9" s="28"/>
      <x:c r="H9" s="28"/>
      <x:c r="I9" s="28"/>
      <x:c r="J9" s="28"/>
      <x:c r="K9" s="28"/>
      <x:c r="L9" s="28"/>
      <x:c r="M9" s="28"/>
      <x:c r="N9" s="28"/>
      <x:c r="O9" s="28"/>
      <x:c r="P9" s="28"/>
      <x:c r="Q9" s="28"/>
      <x:c r="R9" s="28"/>
      <x:c r="S9" s="54"/>
      <x:c r="T9" s="54"/>
      <x:c r="U9" s="54"/>
      <x:c r="V9" s="54"/>
      <x:c r="W9" s="56"/>
      <x:c r="X9" s="58" t="str">
        <x:f>IF(A9="","",IFERROR(MIN(100,MAX(0,(U9/MAX(1,$U$4:$U$24))*60+(W9/MAX(0.01,$W$4:$W$24))*40)),0))</x:f>
      </x:c>
      <x:c r="Y9" s="58" t="str">
        <x:f>IF(A9="","",MAX(0,MIN(100,100-(E9-90)*1.2-(F9-5)*2)))</x:f>
      </x:c>
      <x:c r="Z9" s="58" t="str">
        <x:f>IF(A9="","",MAX(0,MIN(100,(K9/150)*25+(L9/20)*10+M9*8+N9*8+O9*8+P9*7+Q9*8+R9*8)))</x:f>
      </x:c>
      <x:c r="AA9" s="58" t="str">
        <x:f>IF(A9="","",MAX(0,MIN(100,G9*12.5+H9*12.5)))</x:f>
      </x:c>
      <x:c r="AB9" s="58" t="n">
        <x:f>X9*'Ranking Rules'!$C$4+Y9*'Ranking Rules'!$C$5+Z9*'Ranking Rules'!$C$6+AA9*'Ranking Rules'!$C$7</x:f>
        <x:v>0</x:v>
      </x:c>
      <x:c r="AC9" s="60" t="str">
        <x:f>IF(A9="","",1+COUNTIF($AB$4:$AB$24,"&gt;"&amp;AB9))</x:f>
      </x:c>
    </x:row>
    <x:row r="10">
      <x:c r="A10" s="28" t="str"/>
      <x:c r="B10" s="28" t="str"/>
      <x:c r="C10" s="30"/>
      <x:c r="D10" s="30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  <x:c r="P10" s="28"/>
      <x:c r="Q10" s="28"/>
      <x:c r="R10" s="28"/>
      <x:c r="S10" s="54"/>
      <x:c r="T10" s="54"/>
      <x:c r="U10" s="54"/>
      <x:c r="V10" s="54"/>
      <x:c r="W10" s="56"/>
      <x:c r="X10" s="58" t="str">
        <x:f>IF(A10="","",IFERROR(MIN(100,MAX(0,(U10/MAX(1,$U$4:$U$24))*60+(W10/MAX(0.01,$W$4:$W$24))*40)),0))</x:f>
      </x:c>
      <x:c r="Y10" s="58" t="str">
        <x:f>IF(A10="","",MAX(0,MIN(100,100-(E10-90)*1.2-(F10-5)*2)))</x:f>
      </x:c>
      <x:c r="Z10" s="58" t="str">
        <x:f>IF(A10="","",MAX(0,MIN(100,(K10/150)*25+(L10/20)*10+M10*8+N10*8+O10*8+P10*7+Q10*8+R10*8)))</x:f>
      </x:c>
      <x:c r="AA10" s="58" t="str">
        <x:f>IF(A10="","",MAX(0,MIN(100,G10*12.5+H10*12.5)))</x:f>
      </x:c>
      <x:c r="AB10" s="58" t="n">
        <x:f>X10*'Ranking Rules'!$C$4+Y10*'Ranking Rules'!$C$5+Z10*'Ranking Rules'!$C$6+AA10*'Ranking Rules'!$C$7</x:f>
        <x:v>0</x:v>
      </x:c>
      <x:c r="AC10" s="60" t="str">
        <x:f>IF(A10="","",1+COUNTIF($AB$4:$AB$24,"&gt;"&amp;AB10))</x:f>
      </x:c>
    </x:row>
    <x:row r="11">
      <x:c r="A11" s="28" t="str"/>
      <x:c r="B11" s="28" t="str"/>
      <x:c r="C11" s="30"/>
      <x:c r="D11" s="30"/>
      <x:c r="E11" s="28"/>
      <x:c r="F11" s="28"/>
      <x:c r="G11" s="28"/>
      <x:c r="H11" s="28"/>
      <x:c r="I11" s="28"/>
      <x:c r="J11" s="28"/>
      <x:c r="K11" s="28"/>
      <x:c r="L11" s="28"/>
      <x:c r="M11" s="28"/>
      <x:c r="N11" s="28"/>
      <x:c r="O11" s="28"/>
      <x:c r="P11" s="28"/>
      <x:c r="Q11" s="28"/>
      <x:c r="R11" s="28"/>
      <x:c r="S11" s="54"/>
      <x:c r="T11" s="54"/>
      <x:c r="U11" s="54"/>
      <x:c r="V11" s="54"/>
      <x:c r="W11" s="56"/>
      <x:c r="X11" s="58" t="str">
        <x:f>IF(A11="","",IFERROR(MIN(100,MAX(0,(U11/MAX(1,$U$4:$U$24))*60+(W11/MAX(0.01,$W$4:$W$24))*40)),0))</x:f>
      </x:c>
      <x:c r="Y11" s="58" t="str">
        <x:f>IF(A11="","",MAX(0,MIN(100,100-(E11-90)*1.2-(F11-5)*2)))</x:f>
      </x:c>
      <x:c r="Z11" s="58" t="str">
        <x:f>IF(A11="","",MAX(0,MIN(100,(K11/150)*25+(L11/20)*10+M11*8+N11*8+O11*8+P11*7+Q11*8+R11*8)))</x:f>
      </x:c>
      <x:c r="AA11" s="58" t="str">
        <x:f>IF(A11="","",MAX(0,MIN(100,G11*12.5+H11*12.5)))</x:f>
      </x:c>
      <x:c r="AB11" s="58" t="n">
        <x:f>X11*'Ranking Rules'!$C$4+Y11*'Ranking Rules'!$C$5+Z11*'Ranking Rules'!$C$6+AA11*'Ranking Rules'!$C$7</x:f>
        <x:v>0</x:v>
      </x:c>
      <x:c r="AC11" s="60" t="str">
        <x:f>IF(A11="","",1+COUNTIF($AB$4:$AB$24,"&gt;"&amp;AB11))</x:f>
      </x:c>
    </x:row>
    <x:row r="12">
      <x:c r="A12" s="28" t="str"/>
      <x:c r="B12" s="28" t="str"/>
      <x:c r="C12" s="30"/>
      <x:c r="D12" s="30"/>
      <x:c r="E12" s="28"/>
      <x:c r="F12" s="28"/>
      <x:c r="G12" s="28"/>
      <x:c r="H12" s="28"/>
      <x:c r="I12" s="28"/>
      <x:c r="J12" s="28"/>
      <x:c r="K12" s="28"/>
      <x:c r="L12" s="28"/>
      <x:c r="M12" s="28"/>
      <x:c r="N12" s="28"/>
      <x:c r="O12" s="28"/>
      <x:c r="P12" s="28"/>
      <x:c r="Q12" s="28"/>
      <x:c r="R12" s="28"/>
      <x:c r="S12" s="54"/>
      <x:c r="T12" s="54"/>
      <x:c r="U12" s="54"/>
      <x:c r="V12" s="54"/>
      <x:c r="W12" s="56"/>
      <x:c r="X12" s="58" t="str">
        <x:f>IF(A12="","",IFERROR(MIN(100,MAX(0,(U12/MAX(1,$U$4:$U$24))*60+(W12/MAX(0.01,$W$4:$W$24))*40)),0))</x:f>
      </x:c>
      <x:c r="Y12" s="58" t="str">
        <x:f>IF(A12="","",MAX(0,MIN(100,100-(E12-90)*1.2-(F12-5)*2)))</x:f>
      </x:c>
      <x:c r="Z12" s="58" t="str">
        <x:f>IF(A12="","",MAX(0,MIN(100,(K12/150)*25+(L12/20)*10+M12*8+N12*8+O12*8+P12*7+Q12*8+R12*8)))</x:f>
      </x:c>
      <x:c r="AA12" s="58" t="str">
        <x:f>IF(A12="","",MAX(0,MIN(100,G12*12.5+H12*12.5)))</x:f>
      </x:c>
      <x:c r="AB12" s="58" t="n">
        <x:f>X12*'Ranking Rules'!$C$4+Y12*'Ranking Rules'!$C$5+Z12*'Ranking Rules'!$C$6+AA12*'Ranking Rules'!$C$7</x:f>
        <x:v>0</x:v>
      </x:c>
      <x:c r="AC12" s="60" t="str">
        <x:f>IF(A12="","",1+COUNTIF($AB$4:$AB$24,"&gt;"&amp;AB12))</x:f>
      </x:c>
    </x:row>
    <x:row r="13">
      <x:c r="A13" s="28" t="str"/>
      <x:c r="B13" s="28" t="str"/>
      <x:c r="C13" s="30"/>
      <x:c r="D13" s="30"/>
      <x:c r="E13" s="28"/>
      <x:c r="F13" s="28"/>
      <x:c r="G13" s="28"/>
      <x:c r="H13" s="28"/>
      <x:c r="I13" s="28"/>
      <x:c r="J13" s="28"/>
      <x:c r="K13" s="28"/>
      <x:c r="L13" s="28"/>
      <x:c r="M13" s="28"/>
      <x:c r="N13" s="28"/>
      <x:c r="O13" s="28"/>
      <x:c r="P13" s="28"/>
      <x:c r="Q13" s="28"/>
      <x:c r="R13" s="28"/>
      <x:c r="S13" s="54"/>
      <x:c r="T13" s="54"/>
      <x:c r="U13" s="54"/>
      <x:c r="V13" s="54"/>
      <x:c r="W13" s="56"/>
      <x:c r="X13" s="58" t="str">
        <x:f>IF(A13="","",IFERROR(MIN(100,MAX(0,(U13/MAX(1,$U$4:$U$24))*60+(W13/MAX(0.01,$W$4:$W$24))*40)),0))</x:f>
      </x:c>
      <x:c r="Y13" s="58" t="str">
        <x:f>IF(A13="","",MAX(0,MIN(100,100-(E13-90)*1.2-(F13-5)*2)))</x:f>
      </x:c>
      <x:c r="Z13" s="58" t="str">
        <x:f>IF(A13="","",MAX(0,MIN(100,(K13/150)*25+(L13/20)*10+M13*8+N13*8+O13*8+P13*7+Q13*8+R13*8)))</x:f>
      </x:c>
      <x:c r="AA13" s="58" t="str">
        <x:f>IF(A13="","",MAX(0,MIN(100,G13*12.5+H13*12.5)))</x:f>
      </x:c>
      <x:c r="AB13" s="58" t="n">
        <x:f>X13*'Ranking Rules'!$C$4+Y13*'Ranking Rules'!$C$5+Z13*'Ranking Rules'!$C$6+AA13*'Ranking Rules'!$C$7</x:f>
        <x:v>0</x:v>
      </x:c>
      <x:c r="AC13" s="60" t="str">
        <x:f>IF(A13="","",1+COUNTIF($AB$4:$AB$24,"&gt;"&amp;AB13))</x:f>
      </x:c>
    </x:row>
    <x:row r="14">
      <x:c r="A14" s="28" t="str"/>
      <x:c r="B14" s="28" t="str"/>
      <x:c r="C14" s="30"/>
      <x:c r="D14" s="30"/>
      <x:c r="E14" s="28"/>
      <x:c r="F14" s="28"/>
      <x:c r="G14" s="28"/>
      <x:c r="H14" s="28"/>
      <x:c r="I14" s="28"/>
      <x:c r="J14" s="28"/>
      <x:c r="K14" s="28"/>
      <x:c r="L14" s="28"/>
      <x:c r="M14" s="28"/>
      <x:c r="N14" s="28"/>
      <x:c r="O14" s="28"/>
      <x:c r="P14" s="28"/>
      <x:c r="Q14" s="28"/>
      <x:c r="R14" s="28"/>
      <x:c r="S14" s="54"/>
      <x:c r="T14" s="54"/>
      <x:c r="U14" s="54"/>
      <x:c r="V14" s="54"/>
      <x:c r="W14" s="56"/>
      <x:c r="X14" s="58" t="str">
        <x:f>IF(A14="","",IFERROR(MIN(100,MAX(0,(U14/MAX(1,$U$4:$U$24))*60+(W14/MAX(0.01,$W$4:$W$24))*40)),0))</x:f>
      </x:c>
      <x:c r="Y14" s="58" t="str">
        <x:f>IF(A14="","",MAX(0,MIN(100,100-(E14-90)*1.2-(F14-5)*2)))</x:f>
      </x:c>
      <x:c r="Z14" s="58" t="str">
        <x:f>IF(A14="","",MAX(0,MIN(100,(K14/150)*25+(L14/20)*10+M14*8+N14*8+O14*8+P14*7+Q14*8+R14*8)))</x:f>
      </x:c>
      <x:c r="AA14" s="58" t="str">
        <x:f>IF(A14="","",MAX(0,MIN(100,G14*12.5+H14*12.5)))</x:f>
      </x:c>
      <x:c r="AB14" s="58" t="n">
        <x:f>X14*'Ranking Rules'!$C$4+Y14*'Ranking Rules'!$C$5+Z14*'Ranking Rules'!$C$6+AA14*'Ranking Rules'!$C$7</x:f>
        <x:v>0</x:v>
      </x:c>
      <x:c r="AC14" s="60" t="str">
        <x:f>IF(A14="","",1+COUNTIF($AB$4:$AB$24,"&gt;"&amp;AB14))</x:f>
      </x:c>
    </x:row>
    <x:row r="15">
      <x:c r="A15" s="28" t="str"/>
      <x:c r="B15" s="28" t="str"/>
      <x:c r="C15" s="30"/>
      <x:c r="D15" s="30"/>
      <x:c r="E15" s="28"/>
      <x:c r="F15" s="28"/>
      <x:c r="G15" s="28"/>
      <x:c r="H15" s="28"/>
      <x:c r="I15" s="28"/>
      <x:c r="J15" s="28"/>
      <x:c r="K15" s="28"/>
      <x:c r="L15" s="28"/>
      <x:c r="M15" s="28"/>
      <x:c r="N15" s="28"/>
      <x:c r="O15" s="28"/>
      <x:c r="P15" s="28"/>
      <x:c r="Q15" s="28"/>
      <x:c r="R15" s="28"/>
      <x:c r="S15" s="54"/>
      <x:c r="T15" s="54"/>
      <x:c r="U15" s="54"/>
      <x:c r="V15" s="54"/>
      <x:c r="W15" s="56"/>
      <x:c r="X15" s="58" t="str">
        <x:f>IF(A15="","",IFERROR(MIN(100,MAX(0,(U15/MAX(1,$U$4:$U$24))*60+(W15/MAX(0.01,$W$4:$W$24))*40)),0))</x:f>
      </x:c>
      <x:c r="Y15" s="58" t="str">
        <x:f>IF(A15="","",MAX(0,MIN(100,100-(E15-90)*1.2-(F15-5)*2)))</x:f>
      </x:c>
      <x:c r="Z15" s="58" t="str">
        <x:f>IF(A15="","",MAX(0,MIN(100,(K15/150)*25+(L15/20)*10+M15*8+N15*8+O15*8+P15*7+Q15*8+R15*8)))</x:f>
      </x:c>
      <x:c r="AA15" s="58" t="str">
        <x:f>IF(A15="","",MAX(0,MIN(100,G15*12.5+H15*12.5)))</x:f>
      </x:c>
      <x:c r="AB15" s="58" t="n">
        <x:f>X15*'Ranking Rules'!$C$4+Y15*'Ranking Rules'!$C$5+Z15*'Ranking Rules'!$C$6+AA15*'Ranking Rules'!$C$7</x:f>
        <x:v>0</x:v>
      </x:c>
      <x:c r="AC15" s="60" t="str">
        <x:f>IF(A15="","",1+COUNTIF($AB$4:$AB$24,"&gt;"&amp;AB15))</x:f>
      </x:c>
    </x:row>
    <x:row r="16">
      <x:c r="A16" s="28" t="str"/>
      <x:c r="B16" s="28" t="str"/>
      <x:c r="C16" s="30"/>
      <x:c r="D16" s="30"/>
      <x:c r="E16" s="28"/>
      <x:c r="F16" s="28"/>
      <x:c r="G16" s="28"/>
      <x:c r="H16" s="28"/>
      <x:c r="I16" s="28"/>
      <x:c r="J16" s="28"/>
      <x:c r="K16" s="28"/>
      <x:c r="L16" s="28"/>
      <x:c r="M16" s="28"/>
      <x:c r="N16" s="28"/>
      <x:c r="O16" s="28"/>
      <x:c r="P16" s="28"/>
      <x:c r="Q16" s="28"/>
      <x:c r="R16" s="28"/>
      <x:c r="S16" s="54"/>
      <x:c r="T16" s="54"/>
      <x:c r="U16" s="54"/>
      <x:c r="V16" s="54"/>
      <x:c r="W16" s="56"/>
      <x:c r="X16" s="58" t="str">
        <x:f>IF(A16="","",IFERROR(MIN(100,MAX(0,(U16/MAX(1,$U$4:$U$24))*60+(W16/MAX(0.01,$W$4:$W$24))*40)),0))</x:f>
      </x:c>
      <x:c r="Y16" s="58" t="str">
        <x:f>IF(A16="","",MAX(0,MIN(100,100-(E16-90)*1.2-(F16-5)*2)))</x:f>
      </x:c>
      <x:c r="Z16" s="58" t="str">
        <x:f>IF(A16="","",MAX(0,MIN(100,(K16/150)*25+(L16/20)*10+M16*8+N16*8+O16*8+P16*7+Q16*8+R16*8)))</x:f>
      </x:c>
      <x:c r="AA16" s="58" t="str">
        <x:f>IF(A16="","",MAX(0,MIN(100,G16*12.5+H16*12.5)))</x:f>
      </x:c>
      <x:c r="AB16" s="58" t="n">
        <x:f>X16*'Ranking Rules'!$C$4+Y16*'Ranking Rules'!$C$5+Z16*'Ranking Rules'!$C$6+AA16*'Ranking Rules'!$C$7</x:f>
        <x:v>0</x:v>
      </x:c>
      <x:c r="AC16" s="60" t="str">
        <x:f>IF(A16="","",1+COUNTIF($AB$4:$AB$24,"&gt;"&amp;AB16))</x:f>
      </x:c>
    </x:row>
    <x:row r="17">
      <x:c r="A17" s="28" t="str"/>
      <x:c r="B17" s="28" t="str"/>
      <x:c r="C17" s="30"/>
      <x:c r="D17" s="30"/>
      <x:c r="E17" s="28"/>
      <x:c r="F17" s="28"/>
      <x:c r="G17" s="28"/>
      <x:c r="H17" s="28"/>
      <x:c r="I17" s="28"/>
      <x:c r="J17" s="28"/>
      <x:c r="K17" s="28"/>
      <x:c r="L17" s="28"/>
      <x:c r="M17" s="28"/>
      <x:c r="N17" s="28"/>
      <x:c r="O17" s="28"/>
      <x:c r="P17" s="28"/>
      <x:c r="Q17" s="28"/>
      <x:c r="R17" s="28"/>
      <x:c r="S17" s="54"/>
      <x:c r="T17" s="54"/>
      <x:c r="U17" s="54"/>
      <x:c r="V17" s="54"/>
      <x:c r="W17" s="56"/>
      <x:c r="X17" s="58" t="str">
        <x:f>IF(A17="","",IFERROR(MIN(100,MAX(0,(U17/MAX(1,$U$4:$U$24))*60+(W17/MAX(0.01,$W$4:$W$24))*40)),0))</x:f>
      </x:c>
      <x:c r="Y17" s="58" t="str">
        <x:f>IF(A17="","",MAX(0,MIN(100,100-(E17-90)*1.2-(F17-5)*2)))</x:f>
      </x:c>
      <x:c r="Z17" s="58" t="str">
        <x:f>IF(A17="","",MAX(0,MIN(100,(K17/150)*25+(L17/20)*10+M17*8+N17*8+O17*8+P17*7+Q17*8+R17*8)))</x:f>
      </x:c>
      <x:c r="AA17" s="58" t="str">
        <x:f>IF(A17="","",MAX(0,MIN(100,G17*12.5+H17*12.5)))</x:f>
      </x:c>
      <x:c r="AB17" s="58" t="n">
        <x:f>X17*'Ranking Rules'!$C$4+Y17*'Ranking Rules'!$C$5+Z17*'Ranking Rules'!$C$6+AA17*'Ranking Rules'!$C$7</x:f>
        <x:v>0</x:v>
      </x:c>
      <x:c r="AC17" s="60" t="str">
        <x:f>IF(A17="","",1+COUNTIF($AB$4:$AB$24,"&gt;"&amp;AB17))</x:f>
      </x:c>
    </x:row>
    <x:row r="18">
      <x:c r="A18" s="28" t="str"/>
      <x:c r="B18" s="28" t="str"/>
      <x:c r="C18" s="30"/>
      <x:c r="D18" s="30"/>
      <x:c r="E18" s="28"/>
      <x:c r="F18" s="28"/>
      <x:c r="G18" s="28"/>
      <x:c r="H18" s="28"/>
      <x:c r="I18" s="28"/>
      <x:c r="J18" s="28"/>
      <x:c r="K18" s="28"/>
      <x:c r="L18" s="28"/>
      <x:c r="M18" s="28"/>
      <x:c r="N18" s="28"/>
      <x:c r="O18" s="28"/>
      <x:c r="P18" s="28"/>
      <x:c r="Q18" s="28"/>
      <x:c r="R18" s="28"/>
      <x:c r="S18" s="54"/>
      <x:c r="T18" s="54"/>
      <x:c r="U18" s="54"/>
      <x:c r="V18" s="54"/>
      <x:c r="W18" s="56"/>
      <x:c r="X18" s="58" t="str">
        <x:f>IF(A18="","",IFERROR(MIN(100,MAX(0,(U18/MAX(1,$U$4:$U$24))*60+(W18/MAX(0.01,$W$4:$W$24))*40)),0))</x:f>
      </x:c>
      <x:c r="Y18" s="58" t="str">
        <x:f>IF(A18="","",MAX(0,MIN(100,100-(E18-90)*1.2-(F18-5)*2)))</x:f>
      </x:c>
      <x:c r="Z18" s="58" t="str">
        <x:f>IF(A18="","",MAX(0,MIN(100,(K18/150)*25+(L18/20)*10+M18*8+N18*8+O18*8+P18*7+Q18*8+R18*8)))</x:f>
      </x:c>
      <x:c r="AA18" s="58" t="str">
        <x:f>IF(A18="","",MAX(0,MIN(100,G18*12.5+H18*12.5)))</x:f>
      </x:c>
      <x:c r="AB18" s="58" t="n">
        <x:f>X18*'Ranking Rules'!$C$4+Y18*'Ranking Rules'!$C$5+Z18*'Ranking Rules'!$C$6+AA18*'Ranking Rules'!$C$7</x:f>
        <x:v>0</x:v>
      </x:c>
      <x:c r="AC18" s="60" t="str">
        <x:f>IF(A18="","",1+COUNTIF($AB$4:$AB$24,"&gt;"&amp;AB18))</x:f>
      </x:c>
    </x:row>
    <x:row r="19">
      <x:c r="A19" s="28" t="str"/>
      <x:c r="B19" s="28" t="str"/>
      <x:c r="C19" s="30"/>
      <x:c r="D19" s="30"/>
      <x:c r="E19" s="28"/>
      <x:c r="F19" s="28"/>
      <x:c r="G19" s="28"/>
      <x:c r="H19" s="28"/>
      <x:c r="I19" s="28"/>
      <x:c r="J19" s="28"/>
      <x:c r="K19" s="28"/>
      <x:c r="L19" s="28"/>
      <x:c r="M19" s="28"/>
      <x:c r="N19" s="28"/>
      <x:c r="O19" s="28"/>
      <x:c r="P19" s="28"/>
      <x:c r="Q19" s="28"/>
      <x:c r="R19" s="28"/>
      <x:c r="S19" s="54"/>
      <x:c r="T19" s="54"/>
      <x:c r="U19" s="54"/>
      <x:c r="V19" s="54"/>
      <x:c r="W19" s="56"/>
      <x:c r="X19" s="58" t="str">
        <x:f>IF(A19="","",IFERROR(MIN(100,MAX(0,(U19/MAX(1,$U$4:$U$24))*60+(W19/MAX(0.01,$W$4:$W$24))*40)),0))</x:f>
      </x:c>
      <x:c r="Y19" s="58" t="str">
        <x:f>IF(A19="","",MAX(0,MIN(100,100-(E19-90)*1.2-(F19-5)*2)))</x:f>
      </x:c>
      <x:c r="Z19" s="58" t="str">
        <x:f>IF(A19="","",MAX(0,MIN(100,(K19/150)*25+(L19/20)*10+M19*8+N19*8+O19*8+P19*7+Q19*8+R19*8)))</x:f>
      </x:c>
      <x:c r="AA19" s="58" t="str">
        <x:f>IF(A19="","",MAX(0,MIN(100,G19*12.5+H19*12.5)))</x:f>
      </x:c>
      <x:c r="AB19" s="58" t="n">
        <x:f>X19*'Ranking Rules'!$C$4+Y19*'Ranking Rules'!$C$5+Z19*'Ranking Rules'!$C$6+AA19*'Ranking Rules'!$C$7</x:f>
        <x:v>0</x:v>
      </x:c>
      <x:c r="AC19" s="60" t="str">
        <x:f>IF(A19="","",1+COUNTIF($AB$4:$AB$24,"&gt;"&amp;AB19))</x:f>
      </x:c>
    </x:row>
    <x:row r="20">
      <x:c r="A20" s="28" t="str"/>
      <x:c r="B20" s="28" t="str"/>
      <x:c r="C20" s="30"/>
      <x:c r="D20" s="30"/>
      <x:c r="E20" s="28"/>
      <x:c r="F20" s="28"/>
      <x:c r="G20" s="28"/>
      <x:c r="H20" s="28"/>
      <x:c r="I20" s="28"/>
      <x:c r="J20" s="28"/>
      <x:c r="K20" s="28"/>
      <x:c r="L20" s="28"/>
      <x:c r="M20" s="28"/>
      <x:c r="N20" s="28"/>
      <x:c r="O20" s="28"/>
      <x:c r="P20" s="28"/>
      <x:c r="Q20" s="28"/>
      <x:c r="R20" s="28"/>
      <x:c r="S20" s="54"/>
      <x:c r="T20" s="54"/>
      <x:c r="U20" s="54"/>
      <x:c r="V20" s="54"/>
      <x:c r="W20" s="56"/>
      <x:c r="X20" s="58" t="str">
        <x:f>IF(A20="","",IFERROR(MIN(100,MAX(0,(U20/MAX(1,$U$4:$U$24))*60+(W20/MAX(0.01,$W$4:$W$24))*40)),0))</x:f>
      </x:c>
      <x:c r="Y20" s="58" t="str">
        <x:f>IF(A20="","",MAX(0,MIN(100,100-(E20-90)*1.2-(F20-5)*2)))</x:f>
      </x:c>
      <x:c r="Z20" s="58" t="str">
        <x:f>IF(A20="","",MAX(0,MIN(100,(K20/150)*25+(L20/20)*10+M20*8+N20*8+O20*8+P20*7+Q20*8+R20*8)))</x:f>
      </x:c>
      <x:c r="AA20" s="58" t="str">
        <x:f>IF(A20="","",MAX(0,MIN(100,G20*12.5+H20*12.5)))</x:f>
      </x:c>
      <x:c r="AB20" s="58" t="n">
        <x:f>X20*'Ranking Rules'!$C$4+Y20*'Ranking Rules'!$C$5+Z20*'Ranking Rules'!$C$6+AA20*'Ranking Rules'!$C$7</x:f>
        <x:v>0</x:v>
      </x:c>
      <x:c r="AC20" s="60" t="str">
        <x:f>IF(A20="","",1+COUNTIF($AB$4:$AB$24,"&gt;"&amp;AB20))</x:f>
      </x:c>
    </x:row>
    <x:row r="21">
      <x:c r="A21" s="28" t="str"/>
      <x:c r="B21" s="28" t="str"/>
      <x:c r="C21" s="30"/>
      <x:c r="D21" s="30"/>
      <x:c r="E21" s="28"/>
      <x:c r="F21" s="28"/>
      <x:c r="G21" s="28"/>
      <x:c r="H21" s="28"/>
      <x:c r="I21" s="28"/>
      <x:c r="J21" s="28"/>
      <x:c r="K21" s="28"/>
      <x:c r="L21" s="28"/>
      <x:c r="M21" s="28"/>
      <x:c r="N21" s="28"/>
      <x:c r="O21" s="28"/>
      <x:c r="P21" s="28"/>
      <x:c r="Q21" s="28"/>
      <x:c r="R21" s="28"/>
      <x:c r="S21" s="54"/>
      <x:c r="T21" s="54"/>
      <x:c r="U21" s="54"/>
      <x:c r="V21" s="54"/>
      <x:c r="W21" s="56"/>
      <x:c r="X21" s="58" t="str">
        <x:f>IF(A21="","",IFERROR(MIN(100,MAX(0,(U21/MAX(1,$U$4:$U$24))*60+(W21/MAX(0.01,$W$4:$W$24))*40)),0))</x:f>
      </x:c>
      <x:c r="Y21" s="58" t="str">
        <x:f>IF(A21="","",MAX(0,MIN(100,100-(E21-90)*1.2-(F21-5)*2)))</x:f>
      </x:c>
      <x:c r="Z21" s="58" t="str">
        <x:f>IF(A21="","",MAX(0,MIN(100,(K21/150)*25+(L21/20)*10+M21*8+N21*8+O21*8+P21*7+Q21*8+R21*8)))</x:f>
      </x:c>
      <x:c r="AA21" s="58" t="str">
        <x:f>IF(A21="","",MAX(0,MIN(100,G21*12.5+H21*12.5)))</x:f>
      </x:c>
      <x:c r="AB21" s="58" t="n">
        <x:f>X21*'Ranking Rules'!$C$4+Y21*'Ranking Rules'!$C$5+Z21*'Ranking Rules'!$C$6+AA21*'Ranking Rules'!$C$7</x:f>
        <x:v>0</x:v>
      </x:c>
      <x:c r="AC21" s="60" t="str">
        <x:f>IF(A21="","",1+COUNTIF($AB$4:$AB$24,"&gt;"&amp;AB21))</x:f>
      </x:c>
    </x:row>
    <x:row r="22">
      <x:c r="A22" s="28" t="str"/>
      <x:c r="B22" s="28" t="str"/>
      <x:c r="C22" s="30"/>
      <x:c r="D22" s="30"/>
      <x:c r="E22" s="28"/>
      <x:c r="F22" s="28"/>
      <x:c r="G22" s="28"/>
      <x:c r="H22" s="28"/>
      <x:c r="I22" s="28"/>
      <x:c r="J22" s="28"/>
      <x:c r="K22" s="28"/>
      <x:c r="L22" s="28"/>
      <x:c r="M22" s="28"/>
      <x:c r="N22" s="28"/>
      <x:c r="O22" s="28"/>
      <x:c r="P22" s="28"/>
      <x:c r="Q22" s="28"/>
      <x:c r="R22" s="28"/>
      <x:c r="S22" s="54"/>
      <x:c r="T22" s="54"/>
      <x:c r="U22" s="54"/>
      <x:c r="V22" s="54"/>
      <x:c r="W22" s="56"/>
      <x:c r="X22" s="58" t="str">
        <x:f>IF(A22="","",IFERROR(MIN(100,MAX(0,(U22/MAX(1,$U$4:$U$24))*60+(W22/MAX(0.01,$W$4:$W$24))*40)),0))</x:f>
      </x:c>
      <x:c r="Y22" s="58" t="str">
        <x:f>IF(A22="","",MAX(0,MIN(100,100-(E22-90)*1.2-(F22-5)*2)))</x:f>
      </x:c>
      <x:c r="Z22" s="58" t="str">
        <x:f>IF(A22="","",MAX(0,MIN(100,(K22/150)*25+(L22/20)*10+M22*8+N22*8+O22*8+P22*7+Q22*8+R22*8)))</x:f>
      </x:c>
      <x:c r="AA22" s="58" t="str">
        <x:f>IF(A22="","",MAX(0,MIN(100,G22*12.5+H22*12.5)))</x:f>
      </x:c>
      <x:c r="AB22" s="58" t="n">
        <x:f>X22*'Ranking Rules'!$C$4+Y22*'Ranking Rules'!$C$5+Z22*'Ranking Rules'!$C$6+AA22*'Ranking Rules'!$C$7</x:f>
        <x:v>0</x:v>
      </x:c>
      <x:c r="AC22" s="60" t="str">
        <x:f>IF(A22="","",1+COUNTIF($AB$4:$AB$24,"&gt;"&amp;AB22))</x:f>
      </x:c>
    </x:row>
    <x:row r="23">
      <x:c r="A23" s="28" t="str"/>
      <x:c r="B23" s="28" t="str"/>
      <x:c r="C23" s="30"/>
      <x:c r="D23" s="30"/>
      <x:c r="E23" s="28"/>
      <x:c r="F23" s="28"/>
      <x:c r="G23" s="28"/>
      <x:c r="H23" s="28"/>
      <x:c r="I23" s="28"/>
      <x:c r="J23" s="28"/>
      <x:c r="K23" s="28"/>
      <x:c r="L23" s="28"/>
      <x:c r="M23" s="28"/>
      <x:c r="N23" s="28"/>
      <x:c r="O23" s="28"/>
      <x:c r="P23" s="28"/>
      <x:c r="Q23" s="28"/>
      <x:c r="R23" s="28"/>
      <x:c r="S23" s="54"/>
      <x:c r="T23" s="54"/>
      <x:c r="U23" s="54"/>
      <x:c r="V23" s="54"/>
      <x:c r="W23" s="56"/>
      <x:c r="X23" s="58" t="str">
        <x:f>IF(A23="","",IFERROR(MIN(100,MAX(0,(U23/MAX(1,$U$4:$U$24))*60+(W23/MAX(0.01,$W$4:$W$24))*40)),0))</x:f>
      </x:c>
      <x:c r="Y23" s="58" t="str">
        <x:f>IF(A23="","",MAX(0,MIN(100,100-(E23-90)*1.2-(F23-5)*2)))</x:f>
      </x:c>
      <x:c r="Z23" s="58" t="str">
        <x:f>IF(A23="","",MAX(0,MIN(100,(K23/150)*25+(L23/20)*10+M23*8+N23*8+O23*8+P23*7+Q23*8+R23*8)))</x:f>
      </x:c>
      <x:c r="AA23" s="58" t="str">
        <x:f>IF(A23="","",MAX(0,MIN(100,G23*12.5+H23*12.5)))</x:f>
      </x:c>
      <x:c r="AB23" s="58" t="n">
        <x:f>X23*'Ranking Rules'!$C$4+Y23*'Ranking Rules'!$C$5+Z23*'Ranking Rules'!$C$6+AA23*'Ranking Rules'!$C$7</x:f>
        <x:v>0</x:v>
      </x:c>
      <x:c r="AC23" s="60" t="str">
        <x:f>IF(A23="","",1+COUNTIF($AB$4:$AB$24,"&gt;"&amp;AB23))</x:f>
      </x:c>
    </x:row>
    <x:row r="24">
      <x:c r="A24" s="28" t="str"/>
      <x:c r="B24" s="28" t="str"/>
      <x:c r="C24" s="30"/>
      <x:c r="D24" s="30"/>
      <x:c r="E24" s="28"/>
      <x:c r="F24" s="28"/>
      <x:c r="G24" s="28"/>
      <x:c r="H24" s="28"/>
      <x:c r="I24" s="28"/>
      <x:c r="J24" s="28"/>
      <x:c r="K24" s="28"/>
      <x:c r="L24" s="28"/>
      <x:c r="M24" s="28"/>
      <x:c r="N24" s="28"/>
      <x:c r="O24" s="28"/>
      <x:c r="P24" s="28"/>
      <x:c r="Q24" s="28"/>
      <x:c r="R24" s="28"/>
      <x:c r="S24" s="54"/>
      <x:c r="T24" s="54"/>
      <x:c r="U24" s="54"/>
      <x:c r="V24" s="54"/>
      <x:c r="W24" s="56"/>
      <x:c r="X24" s="58" t="str">
        <x:f>IF(A24="","",IFERROR(MIN(100,MAX(0,(U24/MAX(1,$U$4:$U$24))*60+(W24/MAX(0.01,$W$4:$W$24))*40)),0))</x:f>
      </x:c>
      <x:c r="Y24" s="58" t="str">
        <x:f>IF(A24="","",MAX(0,MIN(100,100-(E24-90)*1.2-(F24-5)*2)))</x:f>
      </x:c>
      <x:c r="Z24" s="58" t="str">
        <x:f>IF(A24="","",MAX(0,MIN(100,(K24/150)*25+(L24/20)*10+M24*8+N24*8+O24*8+P24*7+Q24*8+R24*8)))</x:f>
      </x:c>
      <x:c r="AA24" s="58" t="str">
        <x:f>IF(A24="","",MAX(0,MIN(100,G24*12.5+H24*12.5)))</x:f>
      </x:c>
      <x:c r="AB24" s="58" t="n">
        <x:f>X24*'Ranking Rules'!$C$4+Y24*'Ranking Rules'!$C$5+Z24*'Ranking Rules'!$C$6+AA24*'Ranking Rules'!$C$7</x:f>
        <x:v>0</x:v>
      </x:c>
      <x:c r="AC24" s="60" t="str">
        <x:f>IF(A24="","",1+COUNTIF($AB$4:$AB$24,"&gt;"&amp;AB24))</x:f>
      </x:c>
    </x:row>
  </x:sheetData>
  <x:mergeCells>
    <x:mergeCell ref="A1:AA1"/>
  </x:mergeCells>
  <x:conditionalFormatting sqref="AB4:AB24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45" hidden="0" customWidth="1"/>
    <x:col min="4" max="4" width="26" hidden="0" customWidth="1"/>
  </x:cols>
  <x:sheetData>
    <x:row r="1" ht="28" customHeight="1">
      <x:c r="A1" s="5" t="str">
        <x:v>Property Ranking Rules &amp; Weighting</x:v>
      </x:c>
      <x:c r="B1" s="5" t="str">
        <x:v>Property Ranking Rules &amp; Weighting</x:v>
      </x:c>
      <x:c r="C1" s="5" t="str">
        <x:v>Property Ranking Rules &amp; Weighting</x:v>
      </x:c>
      <x:c r="D1" s="5" t="str">
        <x:v>Property Ranking Rules &amp; Weighting</x:v>
      </x:c>
      <x:c r="E1" s="5" t="str">
        <x:v>Property Ranking Rules &amp; Weighting</x:v>
      </x:c>
      <x:c r="F1" s="5" t="str">
        <x:v>Property Ranking Rules &amp; Weighting</x:v>
      </x:c>
      <x:c r="G1" s="5" t="str">
        <x:v>Property Ranking Rules &amp; Weighting</x:v>
      </x:c>
      <x:c r="H1" s="5" t="str">
        <x:v>Property Ranking Rules &amp; Weighting</x:v>
      </x:c>
    </x:row>
    <x:row r="3">
      <x:c r="A3" s="22" t="str">
        <x:v>Category</x:v>
      </x:c>
      <x:c r="B3" s="22" t="str">
        <x:v>Description</x:v>
      </x:c>
      <x:c r="C3" s="22" t="str">
        <x:v>Weight</x:v>
      </x:c>
      <x:c r="D3" s="22" t="str">
        <x:v>Scoring logic</x:v>
      </x:c>
    </x:row>
    <x:row r="4">
      <x:c r="A4" t="str">
        <x:v>Financial</x:v>
      </x:c>
      <x:c r="B4" t="str">
        <x:v>NOI, cash required, and 10-year IRR</x:v>
      </x:c>
      <x:c r="C4" s="32" t="n">
        <x:v>0.35</x:v>
      </x:c>
      <x:c r="D4" t="str">
        <x:v>Higher NOI / IRR and lower cash requirement</x:v>
      </x:c>
    </x:row>
    <x:row r="5">
      <x:c r="A5" t="str">
        <x:v>Access</x:v>
      </x:c>
      <x:c r="B5" t="str">
        <x:v>Distance to NYC and restaurant / town hub</x:v>
      </x:c>
      <x:c r="C5" s="32" t="n">
        <x:v>0.15</x:v>
      </x:c>
      <x:c r="D5" t="str">
        <x:v>100 near 90 minutes and 5-minute hub; declines with time</x:v>
      </x:c>
    </x:row>
    <x:row r="6">
      <x:c r="A6" t="str">
        <x:v>Wedding utility</x:v>
      </x:c>
      <x:c r="B6" t="str">
        <x:v>Capacity, beds, backup, parking, catering, noise, aesthetics, Shtick lead fit</x:v>
      </x:c>
      <x:c r="C6" s="32" t="n">
        <x:v>0.35</x:v>
      </x:c>
      <x:c r="D6" t="str">
        <x:v>Weighted operational readiness</x:v>
      </x:c>
    </x:row>
    <x:row r="7">
      <x:c r="A7" t="str">
        <x:v>Legal / risk</x:v>
      </x:c>
      <x:c r="B7" t="str">
        <x:v>STR and event use certainty</x:v>
      </x:c>
      <x:c r="C7" s="32" t="n">
        <x:v>0.15</x:v>
      </x:c>
      <x:c r="D7" t="str">
        <x:v>5 = confirmed permitted; 1 = likely prohibited</x:v>
      </x:c>
    </x:row>
    <x:row r="9">
      <x:c r="A9" s="22" t="str">
        <x:v>Score input</x:v>
      </x:c>
      <x:c r="B9" s="22" t="str">
        <x:v>Rating</x:v>
      </x:c>
      <x:c r="C9" s="22" t="str">
        <x:v>Definition</x:v>
      </x:c>
      <x:c r="D9" s="22" t="str">
        <x:v>Action</x:v>
      </x:c>
    </x:row>
    <x:row r="10">
      <x:c r="A10" t="str">
        <x:v>Legal score</x:v>
      </x:c>
      <x:c r="B10" t="n">
        <x:v>5</x:v>
      </x:c>
      <x:c r="C10" t="str">
        <x:v>Confirmed permitted in writing</x:v>
      </x:c>
      <x:c r="D10" t="str">
        <x:v>Strong</x:v>
      </x:c>
    </x:row>
    <x:row r="11">
      <x:c r="A11" t="str">
        <x:v>Legal score</x:v>
      </x:c>
      <x:c r="B11" t="n">
        <x:v>4</x:v>
      </x:c>
      <x:c r="C11" t="str">
        <x:v>Likely permitted; permit path clear</x:v>
      </x:c>
      <x:c r="D11" t="str">
        <x:v>Proceed with diligence</x:v>
      </x:c>
    </x:row>
    <x:row r="12">
      <x:c r="A12" t="str">
        <x:v>Legal score</x:v>
      </x:c>
      <x:c r="B12" t="n">
        <x:v>3</x:v>
      </x:c>
      <x:c r="C12" t="str">
        <x:v>Conditional / special use required</x:v>
      </x:c>
      <x:c r="D12" t="str">
        <x:v>Price risk</x:v>
      </x:c>
    </x:row>
    <x:row r="13">
      <x:c r="A13" t="str">
        <x:v>Legal score</x:v>
      </x:c>
      <x:c r="B13" t="n">
        <x:v>2</x:v>
      </x:c>
      <x:c r="C13" t="str">
        <x:v>Material restrictions / uncertainty</x:v>
      </x:c>
      <x:c r="D13" t="str">
        <x:v>Avoid unless solved</x:v>
      </x:c>
    </x:row>
    <x:row r="14">
      <x:c r="A14" t="str">
        <x:v>Legal score</x:v>
      </x:c>
      <x:c r="B14" t="n">
        <x:v>1</x:v>
      </x:c>
      <x:c r="C14" t="str">
        <x:v>Prohibited / incompatible</x:v>
      </x:c>
      <x:c r="D14" t="str">
        <x:v>Reject</x:v>
      </x:c>
    </x:row>
    <x:row r="15">
      <x:c r="A15" t="str">
        <x:v>Wedding feature</x:v>
      </x:c>
      <x:c r="B15" t="n">
        <x:v>5</x:v>
      </x:c>
      <x:c r="C15" t="str">
        <x:v>Turnkey / differentiating</x:v>
      </x:c>
      <x:c r="D15" t="str">
        <x:v>Premium</x:v>
      </x:c>
    </x:row>
    <x:row r="16">
      <x:c r="A16" t="str">
        <x:v>Wedding feature</x:v>
      </x:c>
      <x:c r="B16" t="n">
        <x:v>3</x:v>
      </x:c>
      <x:c r="C16" t="str">
        <x:v>Adequate / can be improved</x:v>
      </x:c>
      <x:c r="D16" t="str">
        <x:v>Budget</x:v>
      </x:c>
    </x:row>
    <x:row r="17">
      <x:c r="A17" t="str">
        <x:v>Wedding feature</x:v>
      </x:c>
      <x:c r="B17" t="n">
        <x:v>1</x:v>
      </x:c>
      <x:c r="C17" t="str">
        <x:v>Major constraint</x:v>
      </x:c>
      <x:c r="D17" t="str">
        <x:v>Reject or discount</x:v>
      </x:c>
    </x:row>
  </x:sheetData>
  <x:mergeCells>
    <x:mergeCell ref="A1:H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30" hidden="0" customWidth="1"/>
  </x:cols>
  <x:sheetData>
    <x:row r="1" ht="28" customHeight="1">
      <x:c r="A1" s="5" t="str">
        <x:v>Airbnb + Wedding / Event Revenue Model</x:v>
      </x:c>
      <x:c r="B1" s="5" t="str">
        <x:v>Airbnb + Wedding / Event Revenue Model</x:v>
      </x:c>
      <x:c r="C1" s="5" t="str">
        <x:v>Airbnb + Wedding / Event Revenue Model</x:v>
      </x:c>
      <x:c r="D1" s="5" t="str">
        <x:v>Airbnb + Wedding / Event Revenue Model</x:v>
      </x:c>
      <x:c r="E1" s="5" t="str">
        <x:v>Airbnb + Wedding / Event Revenue Model</x:v>
      </x:c>
      <x:c r="F1" s="5" t="str">
        <x:v>Airbnb + Wedding / Event Revenue Model</x:v>
      </x:c>
      <x:c r="G1" s="5" t="str">
        <x:v>Airbnb + Wedding / Event Revenue Model</x:v>
      </x:c>
      <x:c r="H1" s="5" t="str">
        <x:v>Airbnb + Wedding / Event Revenue Model</x:v>
      </x:c>
    </x:row>
    <x:row r="3">
      <x:c r="A3" s="22" t="str">
        <x:v>Revenue line</x:v>
      </x:c>
      <x:c r="B3" s="22" t="str">
        <x:v>Scenario A</x:v>
      </x:c>
      <x:c r="C3" s="22" t="str">
        <x:v>Scenario B</x:v>
      </x:c>
      <x:c r="D3" s="22" t="str">
        <x:v>Calculation</x:v>
      </x:c>
      <x:c r="E3" s="22" t="str">
        <x:v>Low case</x:v>
      </x:c>
      <x:c r="F3" s="22" t="str">
        <x:v>Base case</x:v>
      </x:c>
      <x:c r="G3" s="22" t="str">
        <x:v>High case</x:v>
      </x:c>
      <x:c r="H3" s="22" t="str">
        <x:v>Notes</x:v>
      </x:c>
    </x:row>
    <x:row r="4">
      <x:c r="A4" t="str">
        <x:v>Available rental days</x:v>
      </x:c>
      <x:c r="B4" s="62" t="n">
        <x:f>'Assumptions'!B18</x:f>
        <x:v>230</x:v>
      </x:c>
      <x:c r="C4" s="62" t="n">
        <x:f>'Assumptions'!C18</x:f>
        <x:v>320</x:v>
      </x:c>
      <x:c r="D4" s="62" t="str">
        <x:v>Input</x:v>
      </x:c>
      <x:c r="E4" s="62" t="n">
        <x:v>180</x:v>
      </x:c>
      <x:c r="F4" s="62" t="n">
        <x:f>'Assumptions'!B18</x:f>
        <x:v>230</x:v>
      </x:c>
      <x:c r="G4" s="62" t="n">
        <x:v>340</x:v>
      </x:c>
      <x:c r="H4" t="str"/>
    </x:row>
    <x:row r="5">
      <x:c r="A5" t="str">
        <x:v>Occupied lodging days</x:v>
      </x:c>
      <x:c r="B5" s="62" t="n">
        <x:f>B4*'Assumptions'!B23</x:f>
        <x:v>115</x:v>
      </x:c>
      <x:c r="C5" s="62" t="n">
        <x:f>C4*'Assumptions'!C23</x:f>
        <x:v>185.6</x:v>
      </x:c>
      <x:c r="D5" s="62" t="str">
        <x:v>Available × occupancy</x:v>
      </x:c>
      <x:c r="E5" s="62" t="n">
        <x:f>E4*40%</x:f>
        <x:v>72</x:v>
      </x:c>
      <x:c r="F5" s="62" t="n">
        <x:f>F4*50%</x:f>
        <x:v>115</x:v>
      </x:c>
      <x:c r="G5" s="62" t="n">
        <x:f>G4*65%</x:f>
        <x:v>221</x:v>
      </x:c>
      <x:c r="H5" t="str"/>
    </x:row>
    <x:row r="6">
      <x:c r="A6" t="str">
        <x:v>Average nightly rate</x:v>
      </x:c>
      <x:c r="B6" s="54" t="n">
        <x:f>'Assumptions'!B22</x:f>
        <x:v>425</x:v>
      </x:c>
      <x:c r="C6" s="54" t="n">
        <x:f>'Assumptions'!C22</x:f>
        <x:v>425</x:v>
      </x:c>
      <x:c r="D6" s="54" t="str">
        <x:v>Input</x:v>
      </x:c>
      <x:c r="E6" s="54" t="n">
        <x:v>325</x:v>
      </x:c>
      <x:c r="F6" s="54" t="n">
        <x:f>'Assumptions'!B22</x:f>
        <x:v>425</x:v>
      </x:c>
      <x:c r="G6" s="54" t="n">
        <x:v>550</x:v>
      </x:c>
      <x:c r="H6" t="str"/>
    </x:row>
    <x:row r="7">
      <x:c r="A7" t="str">
        <x:v>Nightly lodging revenue</x:v>
      </x:c>
      <x:c r="B7" s="54" t="n">
        <x:f>B5*B6</x:f>
        <x:v>48875</x:v>
      </x:c>
      <x:c r="C7" s="54" t="n">
        <x:f>C5*C6</x:f>
        <x:v>78880</x:v>
      </x:c>
      <x:c r="D7" s="54" t="str">
        <x:v>Occupied days × ADR</x:v>
      </x:c>
      <x:c r="E7" s="54" t="n">
        <x:f>E5*E6</x:f>
        <x:v>23400</x:v>
      </x:c>
      <x:c r="F7" s="54" t="n">
        <x:f>F5*F6</x:f>
        <x:v>48875</x:v>
      </x:c>
      <x:c r="G7" s="54" t="n">
        <x:f>G5*G6</x:f>
        <x:v>121550</x:v>
      </x:c>
      <x:c r="H7" t="str"/>
    </x:row>
    <x:row r="8">
      <x:c r="A8" t="str">
        <x:v>Number of stays</x:v>
      </x:c>
      <x:c r="B8" s="62" t="n">
        <x:f>B5/'Assumptions'!B24</x:f>
        <x:v>38.333333333333336</x:v>
      </x:c>
      <x:c r="C8" s="62" t="n">
        <x:f>C5/'Assumptions'!C24</x:f>
        <x:v>61.86666666666667</x:v>
      </x:c>
      <x:c r="D8" s="62" t="str">
        <x:v>Occupied days / avg stay</x:v>
      </x:c>
      <x:c r="E8" s="62" t="n">
        <x:f>E5/3</x:f>
        <x:v>24</x:v>
      </x:c>
      <x:c r="F8" s="62" t="n">
        <x:f>F5/3</x:f>
        <x:v>38.333333333333336</x:v>
      </x:c>
      <x:c r="G8" s="62" t="n">
        <x:f>G5/3</x:f>
        <x:v>73.66666666666667</x:v>
      </x:c>
      <x:c r="H8" t="str"/>
    </x:row>
    <x:row r="9">
      <x:c r="A9" t="str">
        <x:v>Cleaning fee revenue</x:v>
      </x:c>
      <x:c r="B9" s="54" t="n">
        <x:f>B8*'Assumptions'!B25</x:f>
        <x:v>8625</x:v>
      </x:c>
      <x:c r="C9" s="54" t="n">
        <x:f>C8*'Assumptions'!C25</x:f>
        <x:v>13920</x:v>
      </x:c>
      <x:c r="D9" s="54" t="str">
        <x:v>Stays × cleaning fee</x:v>
      </x:c>
      <x:c r="E9" s="54" t="n">
        <x:f>E8*200</x:f>
        <x:v>4800</x:v>
      </x:c>
      <x:c r="F9" s="54" t="n">
        <x:f>F8*225</x:f>
        <x:v>8625</x:v>
      </x:c>
      <x:c r="G9" s="54" t="n">
        <x:f>G8*250</x:f>
        <x:v>18416.666666666668</x:v>
      </x:c>
      <x:c r="H9" t="str"/>
    </x:row>
    <x:row r="10">
      <x:c r="A10" t="str">
        <x:v>Gross lodging revenue</x:v>
      </x:c>
      <x:c r="B10" s="54" t="n">
        <x:f>SUM(B7,B9)</x:f>
        <x:v>57500</x:v>
      </x:c>
      <x:c r="C10" s="54" t="n">
        <x:f>SUM(C7,C9)</x:f>
        <x:v>92800</x:v>
      </x:c>
      <x:c r="D10" s="54" t="str">
        <x:v>Nightly + cleaning</x:v>
      </x:c>
      <x:c r="E10" s="54" t="n">
        <x:f>SUM(E7,E9)</x:f>
        <x:v>28200</x:v>
      </x:c>
      <x:c r="F10" s="54" t="n">
        <x:f>SUM(F7,F9)</x:f>
        <x:v>57500</x:v>
      </x:c>
      <x:c r="G10" s="54" t="n">
        <x:f>SUM(G7,G9)</x:f>
        <x:v>139966.66666666666</x:v>
      </x:c>
      <x:c r="H10" t="str"/>
    </x:row>
    <x:row r="11">
      <x:c r="A11" t="str">
        <x:v>Shtick weddings</x:v>
      </x:c>
      <x:c r="B11" s="62" t="n">
        <x:f>'Assumptions'!B40</x:f>
        <x:v>4</x:v>
      </x:c>
      <x:c r="C11" s="62" t="n">
        <x:f>'Assumptions'!C40</x:f>
        <x:v>5</x:v>
      </x:c>
      <x:c r="D11" s="62" t="str">
        <x:v>Input</x:v>
      </x:c>
      <x:c r="E11" s="62" t="n">
        <x:v>2</x:v>
      </x:c>
      <x:c r="F11" s="62" t="n">
        <x:f>'Assumptions'!B40</x:f>
        <x:v>4</x:v>
      </x:c>
      <x:c r="G11" s="62" t="n">
        <x:v>8</x:v>
      </x:c>
      <x:c r="H11" t="str"/>
    </x:row>
    <x:row r="12">
      <x:c r="A12" t="str">
        <x:v>Other weddings</x:v>
      </x:c>
      <x:c r="B12" s="62" t="n">
        <x:f>'Assumptions'!B41</x:f>
        <x:v>2</x:v>
      </x:c>
      <x:c r="C12" s="62" t="n">
        <x:f>'Assumptions'!C41</x:f>
        <x:v>3</x:v>
      </x:c>
      <x:c r="D12" s="62" t="str">
        <x:v>Input</x:v>
      </x:c>
      <x:c r="E12" s="62" t="n">
        <x:v>1</x:v>
      </x:c>
      <x:c r="F12" s="62" t="n">
        <x:f>'Assumptions'!B41</x:f>
        <x:v>2</x:v>
      </x:c>
      <x:c r="G12" s="62" t="n">
        <x:v>6</x:v>
      </x:c>
      <x:c r="H12" t="str"/>
    </x:row>
    <x:row r="13">
      <x:c r="A13" t="str">
        <x:v>Venue rental revenue</x:v>
      </x:c>
      <x:c r="B13" s="54" t="n">
        <x:f>(B11+B12)*'Assumptions'!B35</x:f>
        <x:v>72000</x:v>
      </x:c>
      <x:c r="C13" s="54" t="n">
        <x:f>(C11+C12)*'Assumptions'!C35</x:f>
        <x:v>96000</x:v>
      </x:c>
      <x:c r="D13" s="54" t="str">
        <x:v>Events × venue fee</x:v>
      </x:c>
      <x:c r="E13" s="54" t="n">
        <x:f>(E11+E12)*9000</x:f>
        <x:v>27000</x:v>
      </x:c>
      <x:c r="F13" s="54" t="n">
        <x:f>(F11+F12)*12000</x:f>
        <x:v>72000</x:v>
      </x:c>
      <x:c r="G13" s="54" t="n">
        <x:f>(G11+G12)*18000</x:f>
        <x:v>252000</x:v>
      </x:c>
      <x:c r="H13" t="str"/>
    </x:row>
    <x:row r="14">
      <x:c r="A14" t="str">
        <x:v>Shtick production revenue</x:v>
      </x:c>
      <x:c r="B14" s="54" t="n">
        <x:f>B11*'Assumptions'!B36</x:f>
        <x:v>72000</x:v>
      </x:c>
      <x:c r="C14" s="54" t="n">
        <x:f>C11*'Assumptions'!C36</x:f>
        <x:v>90000</x:v>
      </x:c>
      <x:c r="D14" s="54" t="str">
        <x:v>Shtick events × production</x:v>
      </x:c>
      <x:c r="E14" s="54" t="n">
        <x:f>E11*12000</x:f>
        <x:v>24000</x:v>
      </x:c>
      <x:c r="F14" s="54" t="n">
        <x:f>F11*18000</x:f>
        <x:v>72000</x:v>
      </x:c>
      <x:c r="G14" s="54" t="n">
        <x:f>G11*25000</x:f>
        <x:v>200000</x:v>
      </x:c>
      <x:c r="H14" t="str"/>
    </x:row>
    <x:row r="15">
      <x:c r="A15" t="str">
        <x:v>Other wedding production revenue</x:v>
      </x:c>
      <x:c r="B15" s="54" t="n">
        <x:f>B12*'Assumptions'!B37</x:f>
        <x:v>15000</x:v>
      </x:c>
      <x:c r="C15" s="54" t="n">
        <x:f>C12*'Assumptions'!C37</x:f>
        <x:v>22500</x:v>
      </x:c>
      <x:c r="D15" s="54" t="str">
        <x:v>Other events × production</x:v>
      </x:c>
      <x:c r="E15" s="54" t="n">
        <x:f>E12*5000</x:f>
        <x:v>5000</x:v>
      </x:c>
      <x:c r="F15" s="54" t="n">
        <x:f>F12*7500</x:f>
        <x:v>15000</x:v>
      </x:c>
      <x:c r="G15" s="54" t="n">
        <x:f>G12*10000</x:f>
        <x:v>60000</x:v>
      </x:c>
      <x:c r="H15" t="str"/>
    </x:row>
    <x:row r="16">
      <x:c r="A16" t="str">
        <x:v>Wedding lodging / buyout revenue</x:v>
      </x:c>
      <x:c r="B16" s="54" t="n">
        <x:f>(B11+B12)*'Assumptions'!B38</x:f>
        <x:v>39000</x:v>
      </x:c>
      <x:c r="C16" s="54" t="n">
        <x:f>(C11+C12)*'Assumptions'!C38</x:f>
        <x:v>52000</x:v>
      </x:c>
      <x:c r="D16" s="54" t="str">
        <x:v>Events × buyout</x:v>
      </x:c>
      <x:c r="E16" s="54" t="n">
        <x:f>(E11+E12)*4000</x:f>
        <x:v>12000</x:v>
      </x:c>
      <x:c r="F16" s="54" t="n">
        <x:f>(F11+F12)*6500</x:f>
        <x:v>39000</x:v>
      </x:c>
      <x:c r="G16" s="54" t="n">
        <x:f>(G11+G12)*9000</x:f>
        <x:v>126000</x:v>
      </x:c>
      <x:c r="H16" t="str"/>
    </x:row>
    <x:row r="17">
      <x:c r="A17" t="str">
        <x:v>Wedding add-ons / commissions</x:v>
      </x:c>
      <x:c r="B17" s="54" t="n">
        <x:f>(B11+B12)*'Assumptions'!B39</x:f>
        <x:v>15000</x:v>
      </x:c>
      <x:c r="C17" s="54" t="n">
        <x:f>(C11+C12)*'Assumptions'!C39</x:f>
        <x:v>20000</x:v>
      </x:c>
      <x:c r="D17" s="54" t="str">
        <x:v>Events × add-ons</x:v>
      </x:c>
      <x:c r="E17" s="54" t="n">
        <x:f>(E11+E12)*1500</x:f>
        <x:v>4500</x:v>
      </x:c>
      <x:c r="F17" s="54" t="n">
        <x:f>(F11+F12)*2500</x:f>
        <x:v>15000</x:v>
      </x:c>
      <x:c r="G17" s="54" t="n">
        <x:f>(G11+G12)*4000</x:f>
        <x:v>56000</x:v>
      </x:c>
      <x:c r="H17" t="str"/>
    </x:row>
    <x:row r="18">
      <x:c r="A18" t="str">
        <x:v>Other private-event revenue</x:v>
      </x:c>
      <x:c r="B18" s="54" t="n">
        <x:f>'Assumptions'!B42*7500</x:f>
        <x:v>30000</x:v>
      </x:c>
      <x:c r="C18" s="54" t="n">
        <x:f>'Assumptions'!C42*7500</x:f>
        <x:v>37500</x:v>
      </x:c>
      <x:c r="D18" s="54" t="str">
        <x:v>Events × fee</x:v>
      </x:c>
      <x:c r="E18" s="54" t="n">
        <x:f>2*5000</x:f>
        <x:v>10000</x:v>
      </x:c>
      <x:c r="F18" s="54" t="n">
        <x:f>'Assumptions'!B42*7500</x:f>
        <x:v>30000</x:v>
      </x:c>
      <x:c r="G18" s="54" t="n">
        <x:f>8*10000</x:f>
        <x:v>80000</x:v>
      </x:c>
      <x:c r="H18" t="str"/>
    </x:row>
    <x:row r="19">
      <x:c r="A19" s="42" t="str">
        <x:v>Gross wedding / event revenue</x:v>
      </x:c>
      <x:c r="B19" s="66" t="n">
        <x:f>SUM(B13:B17)</x:f>
        <x:v>213000</x:v>
      </x:c>
      <x:c r="C19" s="66" t="n">
        <x:f>SUM(C13:C17)</x:f>
        <x:v>280500</x:v>
      </x:c>
      <x:c r="D19" s="66" t="str">
        <x:v>Sum events</x:v>
      </x:c>
      <x:c r="E19" s="66" t="n">
        <x:f>SUM(E13:E17)</x:f>
        <x:v>72500</x:v>
      </x:c>
      <x:c r="F19" s="66" t="n">
        <x:f>SUM(F13:F17)</x:f>
        <x:v>213000</x:v>
      </x:c>
      <x:c r="G19" s="66" t="n">
        <x:f>SUM(G13:G17)</x:f>
        <x:v>694000</x:v>
      </x:c>
      <x:c r="H19" s="42" t="str"/>
    </x:row>
    <x:row r="20">
      <x:c r="A20" t="str">
        <x:v>Total gross revenue</x:v>
      </x:c>
      <x:c r="B20" t="n">
        <x:f>SUM(B10,B18)</x:f>
        <x:v>87500</x:v>
      </x:c>
      <x:c r="C20" t="n">
        <x:f>SUM(C10,C18)</x:f>
        <x:v>130300</x:v>
      </x:c>
      <x:c r="D20" t="str">
        <x:v>Lodging + events</x:v>
      </x:c>
      <x:c r="E20" t="n">
        <x:f>SUM(E10,E18)</x:f>
        <x:v>38200</x:v>
      </x:c>
      <x:c r="F20" t="n">
        <x:f>SUM(F10,F18)</x:f>
        <x:v>87500</x:v>
      </x:c>
      <x:c r="G20" t="n">
        <x:f>SUM(G10,G18)</x:f>
        <x:v>219966.66666666666</x:v>
      </x:c>
      <x:c r="H20" t="str"/>
    </x:row>
  </x:sheetData>
  <x:mergeCells>
    <x:mergeCell ref="A1:H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</x:cols>
  <x:sheetData>
    <x:row r="1" ht="28" customHeight="1">
      <x:c r="A1" s="5" t="str">
        <x:v>Annual Operating Cost Model</x:v>
      </x:c>
      <x:c r="B1" s="5" t="str">
        <x:v>Annual Operating Cost Model</x:v>
      </x:c>
      <x:c r="C1" s="5" t="str">
        <x:v>Annual Operating Cost Model</x:v>
      </x:c>
      <x:c r="D1" s="5" t="str">
        <x:v>Annual Operating Cost Model</x:v>
      </x:c>
      <x:c r="E1" s="5" t="str">
        <x:v>Annual Operating Cost Model</x:v>
      </x:c>
      <x:c r="F1" s="5" t="str">
        <x:v>Annual Operating Cost Model</x:v>
      </x:c>
      <x:c r="G1" s="5" t="str">
        <x:v>Annual Operating Cost Model</x:v>
      </x:c>
    </x:row>
    <x:row r="3">
      <x:c r="A3" s="22" t="str">
        <x:v>Expense line</x:v>
      </x:c>
      <x:c r="B3" s="22" t="str">
        <x:v>Scenario A</x:v>
      </x:c>
      <x:c r="C3" s="22" t="str">
        <x:v>Scenario B</x:v>
      </x:c>
      <x:c r="D3" s="22" t="str">
        <x:v>Basis</x:v>
      </x:c>
      <x:c r="E3" s="22" t="str">
        <x:v>Low case</x:v>
      </x:c>
      <x:c r="F3" s="22" t="str">
        <x:v>Base case</x:v>
      </x:c>
      <x:c r="G3" s="22" t="str">
        <x:v>High case</x:v>
      </x:c>
    </x:row>
    <x:row r="4">
      <x:c r="A4" t="str">
        <x:v>Property tax</x:v>
      </x:c>
      <x:c r="B4" s="54" t="n">
        <x:f>'Assumptions'!B14</x:f>
        <x:v>9000</x:v>
      </x:c>
      <x:c r="C4" s="54" t="n">
        <x:f>'Assumptions'!C14</x:f>
        <x:v>9000</x:v>
      </x:c>
      <x:c r="D4" s="54" t="str">
        <x:v>Input</x:v>
      </x:c>
      <x:c r="E4" s="54" t="n">
        <x:v>7500</x:v>
      </x:c>
      <x:c r="F4" s="54" t="n">
        <x:f>'Assumptions'!B15</x:f>
        <x:v>5000</x:v>
      </x:c>
      <x:c r="G4" s="54" t="n">
        <x:v>13000</x:v>
      </x:c>
    </x:row>
    <x:row r="5">
      <x:c r="A5" t="str">
        <x:v>Insurance</x:v>
      </x:c>
      <x:c r="B5" s="54" t="n">
        <x:f>'Assumptions'!B15</x:f>
        <x:v>5000</x:v>
      </x:c>
      <x:c r="C5" s="54" t="n">
        <x:f>'Assumptions'!C15</x:f>
        <x:v>6500</x:v>
      </x:c>
      <x:c r="D5" s="54" t="str">
        <x:v>Input</x:v>
      </x:c>
      <x:c r="E5" s="54" t="n">
        <x:v>4500</x:v>
      </x:c>
      <x:c r="F5" s="54" t="n">
        <x:f>'Assumptions'!B16</x:f>
        <x:v>30000</x:v>
      </x:c>
      <x:c r="G5" s="54" t="n">
        <x:v>9000</x:v>
      </x:c>
    </x:row>
    <x:row r="6">
      <x:c r="A6" t="str">
        <x:v>Utilities</x:v>
      </x:c>
      <x:c r="B6" s="54" t="n">
        <x:f>'Assumptions'!B50</x:f>
        <x:v>7200</x:v>
      </x:c>
      <x:c r="C6" s="54" t="n">
        <x:f>'Assumptions'!C50</x:f>
        <x:v>7200</x:v>
      </x:c>
      <x:c r="D6" s="54" t="str">
        <x:v>Input</x:v>
      </x:c>
      <x:c r="E6" s="54" t="n">
        <x:v>6000</x:v>
      </x:c>
      <x:c r="F6" s="54" t="n">
        <x:f>'Assumptions'!B50</x:f>
        <x:v>7200</x:v>
      </x:c>
      <x:c r="G6" s="54" t="n">
        <x:v>11000</x:v>
      </x:c>
    </x:row>
    <x:row r="7">
      <x:c r="A7" t="str">
        <x:v>Internet / software / monitoring</x:v>
      </x:c>
      <x:c r="B7" s="54" t="n">
        <x:f>'Assumptions'!B51</x:f>
        <x:v>2400</x:v>
      </x:c>
      <x:c r="C7" s="54" t="n">
        <x:f>'Assumptions'!C51</x:f>
        <x:v>2400</x:v>
      </x:c>
      <x:c r="D7" s="54" t="str">
        <x:v>Input</x:v>
      </x:c>
      <x:c r="E7" s="54" t="n">
        <x:v>1800</x:v>
      </x:c>
      <x:c r="F7" s="54" t="n">
        <x:f>'Assumptions'!B51</x:f>
        <x:v>2400</x:v>
      </x:c>
      <x:c r="G7" s="54" t="n">
        <x:v>4000</x:v>
      </x:c>
    </x:row>
    <x:row r="8">
      <x:c r="A8" t="str">
        <x:v>Turnover cleaning cost</x:v>
      </x:c>
      <x:c r="B8" s="54" t="n">
        <x:f>'Revenue Model'!B8*'Assumptions'!B52</x:f>
        <x:v>9966.666666666668</x:v>
      </x:c>
      <x:c r="C8" s="54" t="n">
        <x:f>'Revenue Model'!C8*'Assumptions'!C52</x:f>
        <x:v>16085.333333333334</x:v>
      </x:c>
      <x:c r="D8" s="54" t="str">
        <x:v>Stays × cost</x:v>
      </x:c>
      <x:c r="E8" s="54" t="n">
        <x:f>'Revenue Model'!E8*220</x:f>
        <x:v>5280</x:v>
      </x:c>
      <x:c r="F8" s="54" t="n">
        <x:f>'Revenue Model'!F8*260</x:f>
        <x:v>9966.666666666668</x:v>
      </x:c>
      <x:c r="G8" s="54" t="n">
        <x:f>'Revenue Model'!G8*300</x:f>
        <x:v>22100</x:v>
      </x:c>
    </x:row>
    <x:row r="9">
      <x:c r="A9" t="str">
        <x:v>Airbnb / booking platform fees</x:v>
      </x:c>
      <x:c r="B9" s="54" t="n">
        <x:f>'Revenue Model'!B10*'Assumptions'!B26</x:f>
        <x:v>1725</x:v>
      </x:c>
      <x:c r="C9" s="54" t="n">
        <x:f>'Revenue Model'!C10*'Assumptions'!C26</x:f>
        <x:v>14384</x:v>
      </x:c>
      <x:c r="D9" s="54" t="str">
        <x:v>Gross lodging × fee</x:v>
      </x:c>
      <x:c r="E9" s="54" t="n">
        <x:f>'Revenue Model'!E10*3%</x:f>
        <x:v>846</x:v>
      </x:c>
      <x:c r="F9" s="54" t="n">
        <x:f>'Revenue Model'!F10*3%</x:f>
        <x:v>1725</x:v>
      </x:c>
      <x:c r="G9" s="54" t="n">
        <x:f>'Revenue Model'!G10*15.5%</x:f>
        <x:v>21694.833333333332</x:v>
      </x:c>
    </x:row>
    <x:row r="10">
      <x:c r="A10" t="str">
        <x:v>Property management</x:v>
      </x:c>
      <x:c r="B10" s="54" t="n">
        <x:f>'Revenue Model'!B10*'Assumptions'!B27</x:f>
        <x:v>0</x:v>
      </x:c>
      <x:c r="C10" s="54" t="n">
        <x:f>'Revenue Model'!C10*'Assumptions'!C27</x:f>
        <x:v>16704</x:v>
      </x:c>
      <x:c r="D10" s="54" t="str">
        <x:v>Lodging × fee</x:v>
      </x:c>
      <x:c r="E10" s="54" t="n">
        <x:v>0</x:v>
      </x:c>
      <x:c r="F10" s="54" t="n">
        <x:v>0</x:v>
      </x:c>
      <x:c r="G10" s="54" t="n">
        <x:f>'Revenue Model'!G10*20%</x:f>
        <x:v>27993.333333333332</x:v>
      </x:c>
    </x:row>
    <x:row r="11">
      <x:c r="A11" t="str">
        <x:v>Revenue leakage / cancellations</x:v>
      </x:c>
      <x:c r="B11" s="54" t="n">
        <x:f>'Revenue Model'!B10*'Assumptions'!B29</x:f>
        <x:v>1725</x:v>
      </x:c>
      <x:c r="C11" s="54" t="n">
        <x:f>'Revenue Model'!C10*'Assumptions'!C29</x:f>
        <x:v>2784</x:v>
      </x:c>
      <x:c r="D11" s="54" t="str">
        <x:v>Revenue × leakage</x:v>
      </x:c>
      <x:c r="E11" s="54" t="n">
        <x:f>'Revenue Model'!E10*3%</x:f>
        <x:v>846</x:v>
      </x:c>
      <x:c r="F11" s="54" t="n">
        <x:f>'Revenue Model'!F10*3%</x:f>
        <x:v>1725</x:v>
      </x:c>
      <x:c r="G11" s="54" t="n">
        <x:f>'Revenue Model'!G10*5%</x:f>
        <x:v>6998.333333333333</x:v>
      </x:c>
    </x:row>
    <x:row r="12">
      <x:c r="A12" t="str">
        <x:v>Maintenance reserve</x:v>
      </x:c>
      <x:c r="B12" s="54" t="n">
        <x:f>('Assumptions'!B5+'Assumptions'!B6)*'Assumptions'!B53</x:f>
        <x:v>9750</x:v>
      </x:c>
      <x:c r="C12" s="54" t="n">
        <x:f>('Assumptions'!C5+'Assumptions'!C6)*'Assumptions'!C53</x:f>
        <x:v>9750</x:v>
      </x:c>
      <x:c r="D12" s="54" t="str">
        <x:v>Project basis × %</x:v>
      </x:c>
      <x:c r="E12" s="54" t="n">
        <x:v>7500</x:v>
      </x:c>
      <x:c r="F12" s="54" t="n">
        <x:v>9750</x:v>
      </x:c>
      <x:c r="G12" s="54" t="n">
        <x:v>15000</x:v>
      </x:c>
    </x:row>
    <x:row r="13">
      <x:c r="A13" t="str">
        <x:v>Capital replacement reserve</x:v>
      </x:c>
      <x:c r="B13" s="54" t="n">
        <x:f>('Assumptions'!B5+'Assumptions'!B6)*'Assumptions'!B54</x:f>
        <x:v>6500</x:v>
      </x:c>
      <x:c r="C13" s="54" t="n">
        <x:f>('Assumptions'!C5+'Assumptions'!C6)*'Assumptions'!C54</x:f>
        <x:v>6500</x:v>
      </x:c>
      <x:c r="D13" s="54" t="str">
        <x:v>Project basis × %</x:v>
      </x:c>
      <x:c r="E13" s="54" t="n">
        <x:v>5000</x:v>
      </x:c>
      <x:c r="F13" s="54" t="n">
        <x:v>6500</x:v>
      </x:c>
      <x:c r="G13" s="54" t="n">
        <x:v>10000</x:v>
      </x:c>
    </x:row>
    <x:row r="14">
      <x:c r="A14" t="str">
        <x:v>Snow / landscaping / pest</x:v>
      </x:c>
      <x:c r="B14" s="54" t="n">
        <x:f>'Assumptions'!B55</x:f>
        <x:v>6000</x:v>
      </x:c>
      <x:c r="C14" s="54" t="n">
        <x:f>'Assumptions'!C55</x:f>
        <x:v>6000</x:v>
      </x:c>
      <x:c r="D14" s="54" t="str">
        <x:v>Input</x:v>
      </x:c>
      <x:c r="E14" s="54" t="n">
        <x:v>4500</x:v>
      </x:c>
      <x:c r="F14" s="54" t="n">
        <x:f>'Assumptions'!B55</x:f>
        <x:v>6000</x:v>
      </x:c>
      <x:c r="G14" s="54" t="n">
        <x:v>10000</x:v>
      </x:c>
    </x:row>
    <x:row r="15">
      <x:c r="A15" t="str">
        <x:v>Septic / well / generator reserve</x:v>
      </x:c>
      <x:c r="B15" s="54" t="n">
        <x:f>'Assumptions'!B56</x:f>
        <x:v>3500</x:v>
      </x:c>
      <x:c r="C15" s="54" t="n">
        <x:f>'Assumptions'!C56</x:f>
        <x:v>3500</x:v>
      </x:c>
      <x:c r="D15" s="54" t="str">
        <x:v>Input</x:v>
      </x:c>
      <x:c r="E15" s="54" t="n">
        <x:v>2500</x:v>
      </x:c>
      <x:c r="F15" s="54" t="n">
        <x:f>'Assumptions'!B56</x:f>
        <x:v>3500</x:v>
      </x:c>
      <x:c r="G15" s="54" t="n">
        <x:v>7000</x:v>
      </x:c>
    </x:row>
    <x:row r="16">
      <x:c r="A16" t="str">
        <x:v>Accounting / bookkeeping</x:v>
      </x:c>
      <x:c r="B16" s="54" t="n">
        <x:f>'Assumptions'!B57</x:f>
        <x:v>4500</x:v>
      </x:c>
      <x:c r="C16" s="54" t="n">
        <x:f>'Assumptions'!C57</x:f>
        <x:v>5500</x:v>
      </x:c>
      <x:c r="D16" s="54" t="str">
        <x:v>Input</x:v>
      </x:c>
      <x:c r="E16" s="54" t="n">
        <x:v>3500</x:v>
      </x:c>
      <x:c r="F16" s="54" t="n">
        <x:f>'Assumptions'!B57</x:f>
        <x:v>4500</x:v>
      </x:c>
      <x:c r="G16" s="54" t="n">
        <x:v>7500</x:v>
      </x:c>
    </x:row>
    <x:row r="17">
      <x:c r="A17" t="str">
        <x:v>STR permit / inspections / lodging fees</x:v>
      </x:c>
      <x:c r="B17" s="54" t="n">
        <x:f>'Assumptions'!B58</x:f>
        <x:v>2500</x:v>
      </x:c>
      <x:c r="C17" s="54" t="n">
        <x:f>'Assumptions'!C58</x:f>
        <x:v>3000</x:v>
      </x:c>
      <x:c r="D17" s="54" t="str">
        <x:v>Input</x:v>
      </x:c>
      <x:c r="E17" s="54" t="n">
        <x:v>1500</x:v>
      </x:c>
      <x:c r="F17" s="54" t="n">
        <x:f>'Assumptions'!B58</x:f>
        <x:v>2500</x:v>
      </x:c>
      <x:c r="G17" s="54" t="n">
        <x:v>6000</x:v>
      </x:c>
    </x:row>
    <x:row r="18">
      <x:c r="A18" t="str">
        <x:v>Wedding / event direct costs</x:v>
      </x:c>
      <x:c r="B18" s="54" t="n">
        <x:f>'Revenue Model'!B18*'Assumptions'!B43</x:f>
        <x:v>11400</x:v>
      </x:c>
      <x:c r="C18" s="54" t="n">
        <x:f>'Revenue Model'!C18*'Assumptions'!C43</x:f>
        <x:v>14250</x:v>
      </x:c>
      <x:c r="D18" s="54" t="str">
        <x:v>Event revenue × cost</x:v>
      </x:c>
      <x:c r="E18" s="54" t="n">
        <x:f>'Revenue Model'!E18*35%</x:f>
        <x:v>3500</x:v>
      </x:c>
      <x:c r="F18" s="54" t="n">
        <x:f>'Revenue Model'!F18*38%</x:f>
        <x:v>11400</x:v>
      </x:c>
      <x:c r="G18" s="54" t="n">
        <x:f>'Revenue Model'!G18*45%</x:f>
        <x:v>36000</x:v>
      </x:c>
    </x:row>
    <x:row r="19">
      <x:c r="A19" t="str">
        <x:v>Event insurance / annual permits</x:v>
      </x:c>
      <x:c r="B19" s="54" t="n">
        <x:f>'Assumptions'!B44</x:f>
        <x:v>5000</x:v>
      </x:c>
      <x:c r="C19" s="54" t="n">
        <x:f>'Assumptions'!C44</x:f>
        <x:v>6000</x:v>
      </x:c>
      <x:c r="D19" s="54" t="str">
        <x:v>Input</x:v>
      </x:c>
      <x:c r="E19" s="54" t="n">
        <x:v>4000</x:v>
      </x:c>
      <x:c r="F19" s="54" t="n">
        <x:f>'Assumptions'!B44</x:f>
        <x:v>5000</x:v>
      </x:c>
      <x:c r="G19" s="54" t="n">
        <x:v>10000</x:v>
      </x:c>
    </x:row>
    <x:row r="20">
      <x:c r="A20" t="str">
        <x:v>Security / shuttle / noise logistics</x:v>
      </x:c>
      <x:c r="B20" s="54" t="n">
        <x:f>('Revenue Model'!B11+'Revenue Model'!B12)*'Assumptions'!B45</x:f>
        <x:v>15000</x:v>
      </x:c>
      <x:c r="C20" s="54" t="n">
        <x:f>('Revenue Model'!C11+'Revenue Model'!C12)*'Assumptions'!C45</x:f>
        <x:v>24000</x:v>
      </x:c>
      <x:c r="D20" s="54" t="str">
        <x:v>Weddings × event cost</x:v>
      </x:c>
      <x:c r="E20" s="54" t="n">
        <x:f>('Revenue Model'!E11+'Revenue Model'!E12)*2000</x:f>
        <x:v>6000</x:v>
      </x:c>
      <x:c r="F20" s="54" t="n">
        <x:f>('Revenue Model'!F11+'Revenue Model'!F12)*2500</x:f>
        <x:v>15000</x:v>
      </x:c>
      <x:c r="G20" s="54" t="n">
        <x:f>('Revenue Model'!G11+'Revenue Model'!G12)*4000</x:f>
        <x:v>56000</x:v>
      </x:c>
    </x:row>
    <x:row r="21">
      <x:c r="A21" s="42" t="str">
        <x:v>Total operating expenses</x:v>
      </x:c>
      <x:c r="B21" s="66" t="n">
        <x:f>SUM(B4:B20)</x:f>
        <x:v>101166.66666666667</x:v>
      </x:c>
      <x:c r="C21" s="66" t="n">
        <x:f>SUM(C4:C20)</x:f>
        <x:v>153557.33333333334</x:v>
      </x:c>
      <x:c r="D21" s="66" t="str">
        <x:v>Sum</x:v>
      </x:c>
      <x:c r="E21" s="66" t="n">
        <x:f>SUM(E4:E20)</x:f>
        <x:v>64772</x:v>
      </x:c>
      <x:c r="F21" s="66" t="n">
        <x:f>SUM(F4:F20)</x:f>
        <x:v>122166.66666666667</x:v>
      </x:c>
      <x:c r="G21" s="66" t="n">
        <x:f>SUM(G4:G20)</x:f>
        <x:v>273286.5</x:v>
      </x:c>
    </x:row>
  </x:sheetData>
  <x:mergeCells>
    <x:mergeCell ref="A1:G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2" hidden="0" customWidth="1"/>
    <x:col min="8" max="8" width="30" hidden="0" customWidth="1"/>
  </x:cols>
  <x:sheetData>
    <x:row r="1" ht="28" customHeight="1">
      <x:c r="A1" s="5" t="str">
        <x:v>Mortgage &amp; Financing Comparison</x:v>
      </x:c>
      <x:c r="B1" s="5" t="str">
        <x:v>Mortgage &amp; Financing Comparison</x:v>
      </x:c>
      <x:c r="C1" s="5" t="str">
        <x:v>Mortgage &amp; Financing Comparison</x:v>
      </x:c>
      <x:c r="D1" s="5" t="str">
        <x:v>Mortgage &amp; Financing Comparison</x:v>
      </x:c>
      <x:c r="E1" s="5" t="str">
        <x:v>Mortgage &amp; Financing Comparison</x:v>
      </x:c>
      <x:c r="F1" s="5" t="str">
        <x:v>Mortgage &amp; Financing Comparison</x:v>
      </x:c>
      <x:c r="G1" s="5" t="str">
        <x:v>Mortgage &amp; Financing Comparison</x:v>
      </x:c>
      <x:c r="H1" s="5" t="str">
        <x:v>Mortgage &amp; Financing Comparison</x:v>
      </x:c>
    </x:row>
    <x:row r="3">
      <x:c r="A3" s="22" t="str">
        <x:v>Metric</x:v>
      </x:c>
      <x:c r="B3" s="22" t="str">
        <x:v>Scenario A</x:v>
      </x:c>
      <x:c r="C3" s="22" t="str">
        <x:v>Scenario B</x:v>
      </x:c>
      <x:c r="D3" s="22" t="str">
        <x:v>20% down</x:v>
      </x:c>
      <x:c r="E3" s="22" t="str">
        <x:v>25% down</x:v>
      </x:c>
      <x:c r="F3" s="22" t="str">
        <x:v>30% down</x:v>
      </x:c>
      <x:c r="G3" s="22" t="str">
        <x:v>Units</x:v>
      </x:c>
      <x:c r="H3" s="22" t="str">
        <x:v>Notes</x:v>
      </x:c>
    </x:row>
    <x:row r="4">
      <x:c r="A4" t="str">
        <x:v>Purchase price</x:v>
      </x:c>
      <x:c r="B4" s="54" t="n">
        <x:f>'Assumptions'!B5</x:f>
        <x:v>500000</x:v>
      </x:c>
      <x:c r="C4" s="54" t="n">
        <x:f>'Assumptions'!C5</x:f>
        <x:v>500000</x:v>
      </x:c>
      <x:c r="D4" s="54" t="n">
        <x:f>'Assumptions'!B5</x:f>
        <x:v>500000</x:v>
      </x:c>
      <x:c r="E4" s="54" t="n">
        <x:f>'Assumptions'!B5</x:f>
        <x:v>500000</x:v>
      </x:c>
      <x:c r="F4" s="54" t="n">
        <x:f>'Assumptions'!B5</x:f>
        <x:v>500000</x:v>
      </x:c>
      <x:c r="G4" t="str">
        <x:v>$</x:v>
      </x:c>
      <x:c r="H4" t="str"/>
    </x:row>
    <x:row r="5">
      <x:c r="A5" t="str">
        <x:v>Down payment %</x:v>
      </x:c>
      <x:c r="B5" s="56" t="n">
        <x:f>'Assumptions'!B9</x:f>
        <x:v>0.2</x:v>
      </x:c>
      <x:c r="C5" s="56" t="n">
        <x:f>'Assumptions'!C9</x:f>
        <x:v>0.25</x:v>
      </x:c>
      <x:c r="D5" s="56" t="n">
        <x:f>20%</x:f>
        <x:v>0.2</x:v>
      </x:c>
      <x:c r="E5" s="56" t="n">
        <x:f>25%</x:f>
        <x:v>0.25</x:v>
      </x:c>
      <x:c r="F5" s="56" t="n">
        <x:f>30%</x:f>
        <x:v>0.3</x:v>
      </x:c>
      <x:c r="G5" t="str">
        <x:v>%</x:v>
      </x:c>
      <x:c r="H5" t="str"/>
    </x:row>
    <x:row r="6">
      <x:c r="A6" t="str">
        <x:v>Loan amount</x:v>
      </x:c>
      <x:c r="B6" s="54" t="n">
        <x:f>B4*(1-B5)</x:f>
        <x:v>400000</x:v>
      </x:c>
      <x:c r="C6" s="54" t="n">
        <x:f>C4*(1-C5)</x:f>
        <x:v>375000</x:v>
      </x:c>
      <x:c r="D6" s="54" t="n">
        <x:f>D4*(1-D5)</x:f>
        <x:v>400000</x:v>
      </x:c>
      <x:c r="E6" s="54" t="n">
        <x:f>E4*(1-E5)</x:f>
        <x:v>375000</x:v>
      </x:c>
      <x:c r="F6" s="54" t="n">
        <x:f>F4*(1-F5)</x:f>
        <x:v>350000</x:v>
      </x:c>
      <x:c r="G6" t="str">
        <x:v>$</x:v>
      </x:c>
      <x:c r="H6" t="str"/>
    </x:row>
    <x:row r="7">
      <x:c r="A7" t="str">
        <x:v>Rate</x:v>
      </x:c>
      <x:c r="B7" s="56" t="n">
        <x:f>'Assumptions'!B10</x:f>
        <x:v>0.0675</x:v>
      </x:c>
      <x:c r="C7" s="56" t="n">
        <x:f>'Assumptions'!C10</x:f>
        <x:v>0.0725</x:v>
      </x:c>
      <x:c r="D7" s="56" t="n">
        <x:f>7.25%</x:f>
        <x:v>0.0725</x:v>
      </x:c>
      <x:c r="E7" s="56" t="n">
        <x:f>7.25%</x:f>
        <x:v>0.0725</x:v>
      </x:c>
      <x:c r="F7" s="56" t="n">
        <x:f>7.25%</x:f>
        <x:v>0.0725</x:v>
      </x:c>
      <x:c r="G7" t="str">
        <x:v>%</x:v>
      </x:c>
      <x:c r="H7" t="str">
        <x:v>Illustrative</x:v>
      </x:c>
    </x:row>
    <x:row r="8">
      <x:c r="A8" t="str">
        <x:v>Term</x:v>
      </x:c>
      <x:c r="B8" s="62" t="n">
        <x:f>'Assumptions'!B11</x:f>
        <x:v>30</x:v>
      </x:c>
      <x:c r="C8" s="62" t="n">
        <x:f>'Assumptions'!C11</x:f>
        <x:v>30</x:v>
      </x:c>
      <x:c r="D8" s="62" t="n">
        <x:f>30</x:f>
        <x:v>30</x:v>
      </x:c>
      <x:c r="E8" s="62" t="n">
        <x:f>30</x:f>
        <x:v>30</x:v>
      </x:c>
      <x:c r="F8" s="62" t="n">
        <x:f>30</x:f>
        <x:v>30</x:v>
      </x:c>
      <x:c r="G8" t="str">
        <x:v>years</x:v>
      </x:c>
      <x:c r="H8" t="str"/>
    </x:row>
    <x:row r="9">
      <x:c r="A9" t="str">
        <x:v>Monthly P&amp;I</x:v>
      </x:c>
      <x:c r="B9" s="54" t="n">
        <x:f>-PMT(B7/12,B8*12,B6)</x:f>
        <x:v>2594.392386272861</x:v>
      </x:c>
      <x:c r="C9" s="54" t="n">
        <x:f>-PMT(C7/12,C8*12,C6)</x:f>
        <x:v>2558.1610502107196</x:v>
      </x:c>
      <x:c r="D9" s="54" t="n">
        <x:f>-PMT(D7/12,D8*12,D6)</x:f>
        <x:v>2728.7051202247676</x:v>
      </x:c>
      <x:c r="E9" s="54" t="n">
        <x:f>-PMT(E7/12,E8*12,E6)</x:f>
        <x:v>2558.1610502107196</x:v>
      </x:c>
      <x:c r="F9" s="54" t="n">
        <x:f>-PMT(F7/12,F8*12,F6)</x:f>
        <x:v>2387.6169801966716</x:v>
      </x:c>
      <x:c r="G9" t="str">
        <x:v>$ / mo</x:v>
      </x:c>
      <x:c r="H9" t="str"/>
    </x:row>
    <x:row r="10">
      <x:c r="A10" t="str">
        <x:v>Annual debt service</x:v>
      </x:c>
      <x:c r="B10" s="54" t="n">
        <x:f>B9*12</x:f>
        <x:v>31132.708635274335</x:v>
      </x:c>
      <x:c r="C10" s="54" t="n">
        <x:f>C9*12</x:f>
        <x:v>30697.932602528635</x:v>
      </x:c>
      <x:c r="D10" s="54" t="n">
        <x:f>D9*12</x:f>
        <x:v>32744.46144269721</x:v>
      </x:c>
      <x:c r="E10" s="54" t="n">
        <x:f>E9*12</x:f>
        <x:v>30697.932602528635</x:v>
      </x:c>
      <x:c r="F10" s="54" t="n">
        <x:f>F9*12</x:f>
        <x:v>28651.40376236006</x:v>
      </x:c>
      <x:c r="G10" t="str">
        <x:v>$ / yr</x:v>
      </x:c>
      <x:c r="H10" t="str"/>
    </x:row>
    <x:row r="11">
      <x:c r="A11" t="str">
        <x:v>Year-1 interest</x:v>
      </x:c>
      <x:c r="B11" s="54" t="n">
        <x:f>-CUMIPMT(B7/12,B8*12,B6,1,12,0)</x:f>
        <x:v>26869.716417101838</x:v>
      </x:c>
      <x:c r="C11" s="54" t="n">
        <x:f>-CUMIPMT(C7/12,C8*12,C6,1,12,0)</x:f>
        <x:v>27068.469828764955</x:v>
      </x:c>
      <x:c r="D11" s="54" t="n">
        <x:f>-CUMIPMT(D7/12,D8*12,D6,1,12,0)</x:f>
        <x:v>28873.03448401595</x:v>
      </x:c>
      <x:c r="E11" s="54" t="n">
        <x:f>-CUMIPMT(E7/12,E8*12,E6,1,12,0)</x:f>
        <x:v>27068.469828764955</x:v>
      </x:c>
      <x:c r="F11" s="54" t="n">
        <x:f>-CUMIPMT(F7/12,F8*12,F6,1,12,0)</x:f>
        <x:v>25263.90517351396</x:v>
      </x:c>
      <x:c r="G11" t="str">
        <x:v>$</x:v>
      </x:c>
      <x:c r="H11" t="str"/>
    </x:row>
    <x:row r="12">
      <x:c r="A12" t="str">
        <x:v>Year-1 principal</x:v>
      </x:c>
      <x:c r="B12" s="54" t="n">
        <x:f>-CUMPRINC(B7/12,B8*12,B6,1,12,0)</x:f>
        <x:v>4262.992218172434</x:v>
      </x:c>
      <x:c r="C12" s="54" t="n">
        <x:f>-CUMPRINC(C7/12,C8*12,C6,1,12,0)</x:f>
        <x:v>3629.4627737636765</x:v>
      </x:c>
      <x:c r="D12" s="54" t="n">
        <x:f>-CUMPRINC(D7/12,D8*12,D6,1,12,0)</x:f>
        <x:v>3871.4269586812507</x:v>
      </x:c>
      <x:c r="E12" s="54" t="n">
        <x:f>-CUMPRINC(E7/12,E8*12,E6,1,12,0)</x:f>
        <x:v>3629.4627737636765</x:v>
      </x:c>
      <x:c r="F12" s="54" t="n">
        <x:f>-CUMPRINC(F7/12,F8*12,F6,1,12,0)</x:f>
        <x:v>3387.498588846096</x:v>
      </x:c>
      <x:c r="G12" t="str">
        <x:v>$</x:v>
      </x:c>
      <x:c r="H12" t="str"/>
    </x:row>
    <x:row r="13">
      <x:c r="A13" t="str">
        <x:v>DSCR</x:v>
      </x:c>
      <x:c r="B13" s="68" t="n">
        <x:f>'Dashboard'!B12/B10</x:f>
        <x:v>3.5921491651588147</x:v>
      </x:c>
      <x:c r="C13" s="68" t="n">
        <x:f>'Dashboard'!C12/C10</x:f>
        <x:v>4.135218755943526</x:v>
      </x:c>
      <x:c r="D13" s="68" t="n">
        <x:f>'Dashboard'!B12/D10</x:f>
        <x:v>3.4153358585250086</x:v>
      </x:c>
      <x:c r="E13" s="68" t="n">
        <x:f>'Dashboard'!B12/E10</x:f>
        <x:v>3.643024915760009</x:v>
      </x:c>
      <x:c r="F13" s="68" t="n">
        <x:f>'Dashboard'!B12/F10</x:f>
        <x:v>3.9032409811714386</x:v>
      </x:c>
      <x:c r="G13" t="str">
        <x:v>x</x:v>
      </x:c>
      <x:c r="H13" t="str">
        <x:v>NOI / debt service</x:v>
      </x:c>
    </x:row>
  </x:sheetData>
  <x:mergeCells>
    <x:mergeCell ref="A1:H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30" hidden="0" customWidth="1"/>
    <x:col min="5" max="5" width="16" hidden="0" customWidth="1"/>
    <x:col min="6" max="6" width="16" hidden="0" customWidth="1"/>
    <x:col min="7" max="7" width="38" hidden="0" customWidth="1"/>
  </x:cols>
  <x:sheetData>
    <x:row r="1" ht="28" customHeight="1">
      <x:c r="A1" s="5" t="str">
        <x:v>Illustrative Tax &amp; Depreciation Model</x:v>
      </x:c>
      <x:c r="B1" s="5" t="str">
        <x:v>Illustrative Tax &amp; Depreciation Model</x:v>
      </x:c>
      <x:c r="C1" s="5" t="str">
        <x:v>Illustrative Tax &amp; Depreciation Model</x:v>
      </x:c>
      <x:c r="D1" s="5" t="str">
        <x:v>Illustrative Tax &amp; Depreciation Model</x:v>
      </x:c>
      <x:c r="E1" s="5" t="str">
        <x:v>Illustrative Tax &amp; Depreciation Model</x:v>
      </x:c>
      <x:c r="F1" s="5" t="str">
        <x:v>Illustrative Tax &amp; Depreciation Model</x:v>
      </x:c>
      <x:c r="G1" s="5" t="str">
        <x:v>Illustrative Tax &amp; Depreciation Model</x:v>
      </x:c>
    </x:row>
    <x:row r="3">
      <x:c r="A3" s="22" t="str">
        <x:v>Tax line</x:v>
      </x:c>
      <x:c r="B3" s="22" t="str">
        <x:v>Scenario A</x:v>
      </x:c>
      <x:c r="C3" s="22" t="str">
        <x:v>Scenario B</x:v>
      </x:c>
      <x:c r="D3" s="22" t="str">
        <x:v>Formula / issue</x:v>
      </x:c>
      <x:c r="E3" s="22" t="str">
        <x:v>Year 1</x:v>
      </x:c>
      <x:c r="F3" s="22" t="str">
        <x:v>Year 2</x:v>
      </x:c>
      <x:c r="G3" s="22" t="str">
        <x:v>Notes</x:v>
      </x:c>
    </x:row>
    <x:row r="4">
      <x:c r="A4" t="str">
        <x:v>Building basis</x:v>
      </x:c>
      <x:c r="B4" s="54" t="n">
        <x:f>'Assumptions'!B5*'Assumptions'!B63+'Assumptions'!B6</x:f>
        <x:v>550000</x:v>
      </x:c>
      <x:c r="C4" s="54" t="n">
        <x:f>'Assumptions'!C5*'Assumptions'!C63+'Assumptions'!C6</x:f>
        <x:v>550000</x:v>
      </x:c>
      <x:c r="D4" s="52" t="str">
        <x:v>Purchase ex land + renovation</x:v>
      </x:c>
      <x:c r="E4" s="54" t="str"/>
      <x:c r="F4" s="54" t="str"/>
      <x:c r="G4" t="str"/>
    </x:row>
    <x:row r="5">
      <x:c r="A5" t="str">
        <x:v>Rental allocation</x:v>
      </x:c>
      <x:c r="B5" s="56" t="n">
        <x:f>'Assumptions'!B18/('Assumptions'!B17+'Assumptions'!B18)</x:f>
        <x:v>0.71875</x:v>
      </x:c>
      <x:c r="C5" s="56" t="n">
        <x:f>'Assumptions'!C18/('Assumptions'!C17+'Assumptions'!C18)</x:f>
        <x:v>0.9580838323353293</x:v>
      </x:c>
      <x:c r="D5" s="52" t="str">
        <x:v>Rental days / total use</x:v>
      </x:c>
      <x:c r="E5" s="54" t="str"/>
      <x:c r="F5" s="54" t="str"/>
      <x:c r="G5" t="str">
        <x:v>Mixed-use allocation</x:v>
      </x:c>
    </x:row>
    <x:row r="6">
      <x:c r="A6" t="str">
        <x:v>Standard depreciation</x:v>
      </x:c>
      <x:c r="B6" s="54" t="n">
        <x:f>B4*B5/27.5</x:f>
        <x:v>14375</x:v>
      </x:c>
      <x:c r="C6" s="54" t="n">
        <x:f>C4*C5/27.5</x:f>
        <x:v>19161.67664670659</x:v>
      </x:c>
      <x:c r="D6" s="52" t="str">
        <x:v>Illustrative residential rental</x:v>
      </x:c>
      <x:c r="E6" s="54" t="str"/>
      <x:c r="F6" s="54" t="str"/>
      <x:c r="G6" t="str"/>
    </x:row>
    <x:row r="7">
      <x:c r="A7" t="str">
        <x:v>Cost-seg eligible basis</x:v>
      </x:c>
      <x:c r="B7" s="54" t="n">
        <x:f>B4*'Assumptions'!B64*B5</x:f>
        <x:v>79062.5</x:v>
      </x:c>
      <x:c r="C7" s="54" t="n">
        <x:f>C4*'Assumptions'!C64*C5</x:f>
        <x:v>105389.22155688623</x:v>
      </x:c>
      <x:c r="D7" s="52" t="str">
        <x:v>Short-life allocation</x:v>
      </x:c>
      <x:c r="E7" s="54" t="str"/>
      <x:c r="F7" s="54" t="str"/>
      <x:c r="G7" t="str">
        <x:v>CPA / study required</x:v>
      </x:c>
    </x:row>
    <x:row r="8">
      <x:c r="A8" t="str">
        <x:v>Illustrative bonus depreciation</x:v>
      </x:c>
      <x:c r="B8" s="54" t="n">
        <x:f>B7</x:f>
        <x:v>79062.5</x:v>
      </x:c>
      <x:c r="C8" s="54" t="n">
        <x:f>C7</x:f>
        <x:v>105389.22155688623</x:v>
      </x:c>
      <x:c r="D8" s="52" t="str">
        <x:v>Assumes eligibility and current law</x:v>
      </x:c>
      <x:c r="E8" s="54" t="str"/>
      <x:c r="F8" s="54" t="str"/>
      <x:c r="G8" t="str">
        <x:v>Potential recapture</x:v>
      </x:c>
    </x:row>
    <x:row r="9">
      <x:c r="A9" t="str">
        <x:v>Mortgage interest</x:v>
      </x:c>
      <x:c r="B9" s="54" t="n">
        <x:f>'Financing'!B11*B5</x:f>
        <x:v>19312.608674791947</x:v>
      </x:c>
      <x:c r="C9" s="54" t="n">
        <x:f>'Financing'!C11*C5</x:f>
        <x:v>25933.863308996366</x:v>
      </x:c>
      <x:c r="D9" s="52" t="str">
        <x:v>Rental allocation</x:v>
      </x:c>
      <x:c r="E9" s="54" t="str"/>
      <x:c r="F9" s="54" t="str"/>
      <x:c r="G9" t="str"/>
    </x:row>
    <x:row r="10">
      <x:c r="A10" t="str">
        <x:v>Property taxes</x:v>
      </x:c>
      <x:c r="B10" s="54" t="n">
        <x:f>'Operating Costs'!B4*B5</x:f>
        <x:v>6468.75</x:v>
      </x:c>
      <x:c r="C10" s="54" t="n">
        <x:f>'Operating Costs'!C4*C5</x:f>
        <x:v>8622.754491017964</x:v>
      </x:c>
      <x:c r="D10" s="52" t="str">
        <x:v>Rental allocation</x:v>
      </x:c>
      <x:c r="E10" s="54" t="str"/>
      <x:c r="F10" s="54" t="str"/>
      <x:c r="G10" t="str"/>
    </x:row>
    <x:row r="11">
      <x:c r="A11" t="str">
        <x:v>Operating expense deductions</x:v>
      </x:c>
      <x:c r="B11" s="54" t="n">
        <x:f>('Operating Costs'!B21-'Operating Costs'!B4-'Operating Costs'!B5)*B5</x:f>
        <x:v>62651.04166666667</x:v>
      </x:c>
      <x:c r="C11" s="54" t="n">
        <x:f>('Operating Costs'!C21-'Operating Costs'!C4-'Operating Costs'!C5)*C5</x:f>
        <x:v>132270.499001996</x:v>
      </x:c>
      <x:c r="D11" s="52" t="str">
        <x:v>Excludes tax/insurance simplification</x:v>
      </x:c>
      <x:c r="E11" s="54" t="str"/>
      <x:c r="F11" s="54" t="str"/>
      <x:c r="G11" t="str"/>
    </x:row>
    <x:row r="12">
      <x:c r="A12" t="str">
        <x:v>Potential Year-1 tax deduction</x:v>
      </x:c>
      <x:c r="B12" s="54" t="n">
        <x:f>SUM(B6,B8:B11)</x:f>
        <x:v>181869.90034145862</x:v>
      </x:c>
      <x:c r="C12" s="54" t="n">
        <x:f>SUM(C6,C8:C11)</x:f>
        <x:v>291378.01500560314</x:v>
      </x:c>
      <x:c r="D12" s="52" t="str">
        <x:v>Illustrative before limitations</x:v>
      </x:c>
      <x:c r="E12" s="54" t="n">
        <x:f>B12</x:f>
        <x:v>181869.90034145862</x:v>
      </x:c>
      <x:c r="F12" s="54" t="n">
        <x:f>C12</x:f>
        <x:v>291378.01500560314</x:v>
      </x:c>
      <x:c r="G12" t="str">
        <x:v>Vacation-home / passive limitations may apply</x:v>
      </x:c>
    </x:row>
    <x:row r="13">
      <x:c r="A13" t="str">
        <x:v>Potential tax value</x:v>
      </x:c>
      <x:c r="B13" s="54" t="n">
        <x:f>B12*'Assumptions'!B62</x:f>
        <x:v>72747.96013658345</x:v>
      </x:c>
      <x:c r="C13" s="54" t="n">
        <x:f>C12*'Assumptions'!C62</x:f>
        <x:v>116551.20600224126</x:v>
      </x:c>
      <x:c r="D13" s="52" t="str">
        <x:v>Deduction × tax rate</x:v>
      </x:c>
      <x:c r="E13" s="54" t="n">
        <x:f>B13</x:f>
        <x:v>72747.96013658345</x:v>
      </x:c>
      <x:c r="F13" s="54" t="n">
        <x:f>C13</x:f>
        <x:v>116551.20600224126</x:v>
      </x:c>
      <x:c r="G13" t="str">
        <x:v>Not guaranteed</x:v>
      </x:c>
    </x:row>
  </x:sheetData>
  <x:mergeCells>
    <x:mergeCell ref="A1:G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2" hidden="0" customWidth="1"/>
    <x:col min="3" max="3" width="22" hidden="0" customWidth="1"/>
  </x:cols>
  <x:sheetData>
    <x:row r="1" ht="28" customHeight="1">
      <x:c r="A1" s="5" t="str">
        <x:v>Investment Dashboard</x:v>
      </x:c>
      <x:c r="B1" s="5" t="str">
        <x:v>Investment Dashboard</x:v>
      </x:c>
      <x:c r="C1" s="5" t="str">
        <x:v>Investment Dashboard</x:v>
      </x:c>
      <x:c r="D1" s="5" t="str">
        <x:v>Investment Dashboard</x:v>
      </x:c>
      <x:c r="E1" s="5" t="str">
        <x:v>Investment Dashboard</x:v>
      </x:c>
      <x:c r="F1" s="5" t="str">
        <x:v>Investment Dashboard</x:v>
      </x:c>
      <x:c r="G1" s="5" t="str">
        <x:v>Investment Dashboard</x:v>
      </x:c>
      <x:c r="H1" s="5" t="str">
        <x:v>Investment Dashboard</x:v>
      </x:c>
      <x:c r="I1" s="5" t="str">
        <x:v>Investment Dashboard</x:v>
      </x:c>
      <x:c r="J1" s="5" t="str">
        <x:v>Investment Dashboard</x:v>
      </x:c>
      <x:c r="K1" s="5" t="str">
        <x:v>Investment Dashboard</x:v>
      </x:c>
      <x:c r="L1" s="5" t="str">
        <x:v>Investment Dashboard</x:v>
      </x:c>
    </x:row>
    <x:row r="3">
      <x:c r="A3" s="22" t="str">
        <x:v>KPI</x:v>
      </x:c>
      <x:c r="B3" s="22" t="str">
        <x:v>Scenario A: Second Home</x:v>
      </x:c>
      <x:c r="C3" s="22" t="str">
        <x:v>Scenario B: Investment</x:v>
      </x:c>
    </x:row>
    <x:row r="4">
      <x:c r="A4" s="10" t="str">
        <x:v>Purchase price</x:v>
      </x:c>
      <x:c r="B4" s="54" t="n">
        <x:f>'Assumptions'!B5</x:f>
        <x:v>500000</x:v>
      </x:c>
      <x:c r="C4" s="54" t="n">
        <x:f>'Assumptions'!C5</x:f>
        <x:v>500000</x:v>
      </x:c>
    </x:row>
    <x:row r="5">
      <x:c r="A5" s="10" t="str">
        <x:v>Renovation + contingency</x:v>
      </x:c>
      <x:c r="B5" s="54" t="n">
        <x:f>'Assumptions'!B6*(1+'Assumptions'!B7)</x:f>
        <x:v>172500</x:v>
      </x:c>
      <x:c r="C5" s="54" t="n">
        <x:f>'Assumptions'!C6*(1+'Assumptions'!C7)</x:f>
        <x:v>172500</x:v>
      </x:c>
    </x:row>
    <x:row r="6">
      <x:c r="A6" s="10" t="str">
        <x:v>Total project cost</x:v>
      </x:c>
      <x:c r="B6" s="54" t="n">
        <x:f>'Acquisition Costs'!B18</x:f>
        <x:v>818000</x:v>
      </x:c>
      <x:c r="C6" s="54" t="n">
        <x:f>'Acquisition Costs'!C18</x:f>
        <x:v>829625</x:v>
      </x:c>
    </x:row>
    <x:row r="7">
      <x:c r="A7" s="10" t="str">
        <x:v>Total cash required</x:v>
      </x:c>
      <x:c r="B7" s="54" t="n">
        <x:f>'Acquisition Costs'!B19</x:f>
        <x:v>418000</x:v>
      </x:c>
      <x:c r="C7" s="54" t="n">
        <x:f>'Acquisition Costs'!C19</x:f>
        <x:v>454625</x:v>
      </x:c>
    </x:row>
    <x:row r="8">
      <x:c r="A8" s="10" t="str">
        <x:v>Gross lodging revenue</x:v>
      </x:c>
      <x:c r="B8" s="54" t="n">
        <x:f>'Revenue Model'!B10</x:f>
        <x:v>57500</x:v>
      </x:c>
      <x:c r="C8" s="54" t="n">
        <x:f>'Revenue Model'!C10</x:f>
        <x:v>92800</x:v>
      </x:c>
    </x:row>
    <x:row r="9">
      <x:c r="A9" s="10" t="str">
        <x:v>Gross wedding / event revenue</x:v>
      </x:c>
      <x:c r="B9" s="54" t="n">
        <x:f>'Revenue Model'!B18</x:f>
        <x:v>30000</x:v>
      </x:c>
      <x:c r="C9" s="54" t="n">
        <x:f>'Revenue Model'!C18</x:f>
        <x:v>37500</x:v>
      </x:c>
    </x:row>
    <x:row r="10">
      <x:c r="A10" s="10" t="str">
        <x:v>Total gross revenue</x:v>
      </x:c>
      <x:c r="B10" s="54" t="n">
        <x:f>'Revenue Model'!B19</x:f>
        <x:v>213000</x:v>
      </x:c>
      <x:c r="C10" s="54" t="n">
        <x:f>'Revenue Model'!C19</x:f>
        <x:v>280500</x:v>
      </x:c>
    </x:row>
    <x:row r="11">
      <x:c r="A11" s="10" t="str">
        <x:v>Operating expenses</x:v>
      </x:c>
      <x:c r="B11" s="54" t="n">
        <x:f>'Operating Costs'!B21</x:f>
        <x:v>101166.66666666667</x:v>
      </x:c>
      <x:c r="C11" s="54" t="n">
        <x:f>'Operating Costs'!C21</x:f>
        <x:v>153557.33333333334</x:v>
      </x:c>
    </x:row>
    <x:row r="12">
      <x:c r="A12" s="10" t="str">
        <x:v>NOI before debt</x:v>
      </x:c>
      <x:c r="B12" s="54" t="n">
        <x:f>B10-B11</x:f>
        <x:v>111833.33333333333</x:v>
      </x:c>
      <x:c r="C12" s="54" t="n">
        <x:f>C10-C11</x:f>
        <x:v>126942.66666666666</x:v>
      </x:c>
    </x:row>
    <x:row r="13">
      <x:c r="A13" s="10" t="str">
        <x:v>Annual debt service</x:v>
      </x:c>
      <x:c r="B13" s="54" t="n">
        <x:f>'Financing'!B10</x:f>
        <x:v>31132.708635274335</x:v>
      </x:c>
      <x:c r="C13" s="54" t="n">
        <x:f>'Financing'!C10</x:f>
        <x:v>30697.932602528635</x:v>
      </x:c>
    </x:row>
    <x:row r="14">
      <x:c r="A14" s="10" t="str">
        <x:v>Pre-tax cash flow</x:v>
      </x:c>
      <x:c r="B14" s="54" t="n">
        <x:f>B12-B13</x:f>
        <x:v>80700.624698059</x:v>
      </x:c>
      <x:c r="C14" s="54" t="n">
        <x:f>C12-C13</x:f>
        <x:v>96244.73406413803</x:v>
      </x:c>
    </x:row>
    <x:row r="15">
      <x:c r="A15" s="10" t="str">
        <x:v>DSCR</x:v>
      </x:c>
      <x:c r="B15" s="68" t="n">
        <x:f>B12/B13</x:f>
        <x:v>3.5921491651588147</x:v>
      </x:c>
      <x:c r="C15" s="68" t="n">
        <x:f>C12/C13</x:f>
        <x:v>4.135218755943526</x:v>
      </x:c>
    </x:row>
    <x:row r="16">
      <x:c r="A16" s="10" t="str">
        <x:v>Potential Year-1 tax value</x:v>
      </x:c>
      <x:c r="B16" s="54" t="n">
        <x:f>'Tax Model'!B13</x:f>
        <x:v>72747.96013658345</x:v>
      </x:c>
      <x:c r="C16" s="54" t="n">
        <x:f>'Tax Model'!C13</x:f>
        <x:v>116551.20600224126</x:v>
      </x:c>
    </x:row>
    <x:row r="17">
      <x:c r="A17" s="10" t="str">
        <x:v>After-tax cash flow</x:v>
      </x:c>
      <x:c r="B17" s="54" t="n">
        <x:f>B14+B16</x:f>
        <x:v>153448.58483464245</x:v>
      </x:c>
      <x:c r="C17" s="54" t="n">
        <x:f>C14+C16</x:f>
        <x:v>212795.9400663793</x:v>
      </x:c>
    </x:row>
    <x:row r="18">
      <x:c r="A18" s="10" t="str">
        <x:v>Cash-on-cash return</x:v>
      </x:c>
      <x:c r="B18" s="56" t="n">
        <x:f>B14/B7</x:f>
        <x:v>0.1930636954499019</x:v>
      </x:c>
      <x:c r="C18" s="56" t="n">
        <x:f>C14/C7</x:f>
        <x:v>0.21170136720184335</x:v>
      </x:c>
    </x:row>
    <x:row r="19">
      <x:c r="A19" s="10" t="str">
        <x:v>Break-even gross revenue</x:v>
      </x:c>
      <x:c r="B19" s="54" t="n">
        <x:f>B11+B13</x:f>
        <x:v>132299.375301941</x:v>
      </x:c>
      <x:c r="C19" s="54" t="n">
        <x:f>C11+C13</x:f>
        <x:v>184255.26593586197</x:v>
      </x:c>
    </x:row>
    <x:row r="21">
      <x:c r="A21" s="17" t="str">
        <x:v>Property Quality &amp; Market Ranking</x:v>
      </x:c>
      <x:c r="B21" s="17" t="str">
        <x:v>Property Quality &amp; Market Ranking</x:v>
      </x:c>
      <x:c r="C21" s="17" t="str">
        <x:v>Property Quality &amp; Market Ranking</x:v>
      </x:c>
      <x:c r="D21" s="17" t="str">
        <x:v>Property Quality &amp; Market Ranking</x:v>
      </x:c>
      <x:c r="E21" s="17" t="str">
        <x:v>Property Quality &amp; Market Ranking</x:v>
      </x:c>
      <x:c r="F21" s="17" t="str">
        <x:v>Property Quality &amp; Market Ranking</x:v>
      </x:c>
      <x:c r="G21" s="17" t="str">
        <x:v>Property Quality &amp; Market Ranking</x:v>
      </x:c>
      <x:c r="H21" s="17" t="str">
        <x:v>Property Quality &amp; Market Ranking</x:v>
      </x:c>
      <x:c r="I21" s="17" t="str">
        <x:v>Property Quality &amp; Market Ranking</x:v>
      </x:c>
      <x:c r="J21" s="17" t="str">
        <x:v>Property Quality &amp; Market Ranking</x:v>
      </x:c>
      <x:c r="K21" s="17" t="str">
        <x:v>Property Quality &amp; Market Ranking</x:v>
      </x:c>
      <x:c r="L21" s="17" t="str">
        <x:v>Property Quality &amp; Market Ranking</x:v>
      </x:c>
    </x:row>
    <x:row r="22">
      <x:c r="A22" s="22" t="str">
        <x:v>Property</x:v>
      </x:c>
      <x:c r="B22" s="22" t="str">
        <x:v>Overall score</x:v>
      </x:c>
      <x:c r="C22" s="22" t="str">
        <x:v>Rank</x:v>
      </x:c>
      <x:c r="D22" s="22" t="str">
        <x:v>Decision</x:v>
      </x:c>
    </x:row>
    <x:row r="23">
      <x:c r="A23" t="str">
        <x:f>'Property Ranking'!A4</x:f>
        <x:v>Base Case Property</x:v>
      </x:c>
      <x:c r="B23" s="70" t="n">
        <x:f>'Property Ranking'!AB4</x:f>
        <x:v>92.5</x:v>
      </x:c>
      <x:c r="C23" t="n">
        <x:f>'Property Ranking'!AC4</x:f>
        <x:v>1</x:v>
      </x:c>
      <x:c r="D23" t="str">
        <x:f>IF(B23&gt;=80,"Strong candidate",IF(B23&gt;=65,"Diligence",IF(B23&gt;=50,"Speculative","Reject")))</x:f>
        <x:v>Strong candidate</x:v>
      </x:c>
    </x:row>
    <x:row r="24">
      <x:c r="A24" t="n">
        <x:f>'Property Ranking'!A5</x:f>
        <x:v>0</x:v>
      </x:c>
      <x:c r="B24" s="70" t="n">
        <x:f>'Property Ranking'!AB5</x:f>
        <x:v>0</x:v>
      </x:c>
      <x:c r="C24" t="n">
        <x:f>'Property Ranking'!AC5</x:f>
        <x:v>0</x:v>
      </x:c>
      <x:c r="D24" t="str">
        <x:f>IF(B24&gt;=80,"Strong candidate",IF(B24&gt;=65,"Diligence",IF(B24&gt;=50,"Speculative","Reject")))</x:f>
        <x:v>Reject</x:v>
      </x:c>
    </x:row>
    <x:row r="25">
      <x:c r="A25" t="n">
        <x:f>'Property Ranking'!A6</x:f>
        <x:v>0</x:v>
      </x:c>
      <x:c r="B25" s="70" t="n">
        <x:f>'Property Ranking'!AB6</x:f>
        <x:v>0</x:v>
      </x:c>
      <x:c r="C25" t="n">
        <x:f>'Property Ranking'!AC6</x:f>
        <x:v>0</x:v>
      </x:c>
      <x:c r="D25" t="str">
        <x:f>IF(B25&gt;=80,"Strong candidate",IF(B25&gt;=65,"Diligence",IF(B25&gt;=50,"Speculative","Reject")))</x:f>
        <x:v>Reject</x:v>
      </x:c>
    </x:row>
    <x:row r="26">
      <x:c r="A26" t="n">
        <x:f>'Property Ranking'!A7</x:f>
        <x:v>0</x:v>
      </x:c>
      <x:c r="B26" s="70" t="n">
        <x:f>'Property Ranking'!AB7</x:f>
        <x:v>0</x:v>
      </x:c>
      <x:c r="C26" t="n">
        <x:f>'Property Ranking'!AC7</x:f>
        <x:v>0</x:v>
      </x:c>
      <x:c r="D26" t="str">
        <x:f>IF(B26&gt;=80,"Strong candidate",IF(B26&gt;=65,"Diligence",IF(B26&gt;=50,"Speculative","Reject")))</x:f>
        <x:v>Reject</x:v>
      </x:c>
    </x:row>
    <x:row r="27">
      <x:c r="A27" t="n">
        <x:f>'Property Ranking'!A8</x:f>
        <x:v>0</x:v>
      </x:c>
      <x:c r="B27" s="70" t="n">
        <x:f>'Property Ranking'!AB8</x:f>
        <x:v>0</x:v>
      </x:c>
      <x:c r="C27" t="n">
        <x:f>'Property Ranking'!AC8</x:f>
        <x:v>0</x:v>
      </x:c>
      <x:c r="D27" t="str">
        <x:f>IF(B27&gt;=80,"Strong candidate",IF(B27&gt;=65,"Diligence",IF(B27&gt;=50,"Speculative","Reject")))</x:f>
        <x:v>Reject</x:v>
      </x:c>
    </x:row>
    <x:row r="28">
      <x:c r="A28" t="n">
        <x:f>'Property Ranking'!A9</x:f>
        <x:v>0</x:v>
      </x:c>
      <x:c r="B28" s="70" t="n">
        <x:f>'Property Ranking'!AB9</x:f>
        <x:v>0</x:v>
      </x:c>
      <x:c r="C28" t="n">
        <x:f>'Property Ranking'!AC9</x:f>
        <x:v>0</x:v>
      </x:c>
      <x:c r="D28" t="str">
        <x:f>IF(B28&gt;=80,"Strong candidate",IF(B28&gt;=65,"Diligence",IF(B28&gt;=50,"Speculative","Reject")))</x:f>
        <x:v>Reject</x:v>
      </x:c>
    </x:row>
    <x:row r="29">
      <x:c r="A29" t="n">
        <x:f>'Property Ranking'!A10</x:f>
        <x:v>0</x:v>
      </x:c>
      <x:c r="B29" s="70" t="n">
        <x:f>'Property Ranking'!AB10</x:f>
        <x:v>0</x:v>
      </x:c>
      <x:c r="C29" t="n">
        <x:f>'Property Ranking'!AC10</x:f>
        <x:v>0</x:v>
      </x:c>
      <x:c r="D29" t="str">
        <x:f>IF(B29&gt;=80,"Strong candidate",IF(B29&gt;=65,"Diligence",IF(B29&gt;=50,"Speculative","Reject")))</x:f>
        <x:v>Reject</x:v>
      </x:c>
    </x:row>
    <x:row r="30">
      <x:c r="A30" t="n">
        <x:f>'Property Ranking'!A11</x:f>
        <x:v>0</x:v>
      </x:c>
      <x:c r="B30" s="70" t="n">
        <x:f>'Property Ranking'!AB11</x:f>
        <x:v>0</x:v>
      </x:c>
      <x:c r="C30" t="n">
        <x:f>'Property Ranking'!AC11</x:f>
        <x:v>0</x:v>
      </x:c>
      <x:c r="D30" t="str">
        <x:f>IF(B30&gt;=80,"Strong candidate",IF(B30&gt;=65,"Diligence",IF(B30&gt;=50,"Speculative","Reject")))</x:f>
        <x:v>Reject</x:v>
      </x:c>
    </x:row>
    <x:row r="31">
      <x:c r="A31" t="n">
        <x:f>'Property Ranking'!A12</x:f>
        <x:v>0</x:v>
      </x:c>
      <x:c r="B31" s="70" t="n">
        <x:f>'Property Ranking'!AB12</x:f>
        <x:v>0</x:v>
      </x:c>
      <x:c r="C31" t="n">
        <x:f>'Property Ranking'!AC12</x:f>
        <x:v>0</x:v>
      </x:c>
      <x:c r="D31" t="str">
        <x:f>IF(B31&gt;=80,"Strong candidate",IF(B31&gt;=65,"Diligence",IF(B31&gt;=50,"Speculative","Reject")))</x:f>
        <x:v>Reject</x:v>
      </x:c>
    </x:row>
    <x:row r="32">
      <x:c r="A32" t="n">
        <x:f>'Property Ranking'!A13</x:f>
        <x:v>0</x:v>
      </x:c>
      <x:c r="B32" s="70" t="n">
        <x:f>'Property Ranking'!AB13</x:f>
        <x:v>0</x:v>
      </x:c>
      <x:c r="C32" t="n">
        <x:f>'Property Ranking'!AC13</x:f>
        <x:v>0</x:v>
      </x:c>
      <x:c r="D32" t="str">
        <x:f>IF(B32&gt;=80,"Strong candidate",IF(B32&gt;=65,"Diligence",IF(B32&gt;=50,"Speculative","Reject")))</x:f>
        <x:v>Reject</x:v>
      </x:c>
    </x:row>
  </x:sheetData>
  <x:mergeCells>
    <x:mergeCell ref="A1:L1"/>
    <x:mergeCell ref="A21:L21"/>
  </x:mergeCells>
  <x:conditionalFormatting sqref="B23:B32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  <x:drawing xmlns:r="http://schemas.openxmlformats.org/officeDocument/2006/relationships" r:id="R45f43036e752455f"/>
</x:worksheet>
</file>

<file path=xl/worksheets/sheet1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</x:cols>
  <x:sheetData>
    <x:row r="1" ht="28" customHeight="1">
      <x:c r="A1" s="5" t="str">
        <x:v>10-Year Levered Projection</x:v>
      </x:c>
      <x:c r="B1" s="5" t="str">
        <x:v>10-Year Levered Projection</x:v>
      </x:c>
      <x:c r="C1" s="5" t="str">
        <x:v>10-Year Levered Projection</x:v>
      </x:c>
      <x:c r="D1" s="5" t="str">
        <x:v>10-Year Levered Projection</x:v>
      </x:c>
      <x:c r="E1" s="5" t="str">
        <x:v>10-Year Levered Projection</x:v>
      </x:c>
      <x:c r="F1" s="5" t="str">
        <x:v>10-Year Levered Projection</x:v>
      </x:c>
      <x:c r="G1" s="5" t="str">
        <x:v>10-Year Levered Projection</x:v>
      </x:c>
      <x:c r="H1" s="5" t="str">
        <x:v>10-Year Levered Projection</x:v>
      </x:c>
      <x:c r="I1" s="5" t="str">
        <x:v>10-Year Levered Projection</x:v>
      </x:c>
      <x:c r="J1" s="5" t="str">
        <x:v>10-Year Levered Projection</x:v>
      </x:c>
      <x:c r="K1" s="5" t="str">
        <x:v>10-Year Levered Projection</x:v>
      </x:c>
      <x:c r="L1" s="5" t="str">
        <x:v>10-Year Levered Projection</x:v>
      </x:c>
      <x:c r="M1" s="5" t="str">
        <x:v>10-Year Levered Projection</x:v>
      </x:c>
      <x:c r="N1" s="5" t="str">
        <x:v>10-Year Levered Projection</x:v>
      </x:c>
    </x:row>
    <x:row r="3">
      <x:c r="A3" s="22" t="str">
        <x:v>Year</x:v>
      </x:c>
      <x:c r="B3" s="22" t="str">
        <x:v>Property value A</x:v>
      </x:c>
      <x:c r="C3" s="22" t="str">
        <x:v>Revenue A</x:v>
      </x:c>
      <x:c r="D3" s="22" t="str">
        <x:v>OpEx A</x:v>
      </x:c>
      <x:c r="E3" s="22" t="str">
        <x:v>NOI A</x:v>
      </x:c>
      <x:c r="F3" s="22" t="str">
        <x:v>Debt service A</x:v>
      </x:c>
      <x:c r="G3" s="22" t="str">
        <x:v>Cash flow A</x:v>
      </x:c>
      <x:c r="H3" s="22" t="str">
        <x:v>Loan balance A</x:v>
      </x:c>
      <x:c r="I3" s="22" t="str">
        <x:v>Net sale proceeds A</x:v>
      </x:c>
      <x:c r="J3" s="22" t="str">
        <x:v>Cumulative cash flow A</x:v>
      </x:c>
      <x:c r="K3" s="22" t="str">
        <x:v>Equity value A</x:v>
      </x:c>
      <x:c r="L3" s="22" t="str">
        <x:v>Initial cash A</x:v>
      </x:c>
      <x:c r="M3" s="22" t="str">
        <x:v>Total return A</x:v>
      </x:c>
      <x:c r="N3" s="22" t="str">
        <x:v>IRR cash flow A</x:v>
      </x:c>
    </x:row>
    <x:row r="4">
      <x:c r="A4" s="72" t="n">
        <x:v>0</x:v>
      </x:c>
      <x:c r="B4" s="54" t="n">
        <x:f>'Assumptions'!B5+'Assumptions'!B6</x:f>
        <x:v>650000</x:v>
      </x:c>
      <x:c r="C4" s="54" t="n">
        <x:v>0</x:v>
      </x:c>
      <x:c r="D4" s="54" t="n">
        <x:v>0</x:v>
      </x:c>
      <x:c r="E4" s="54" t="n">
        <x:v>0</x:v>
      </x:c>
      <x:c r="F4" s="54" t="n">
        <x:v>0</x:v>
      </x:c>
      <x:c r="G4" s="54" t="n">
        <x:v>0</x:v>
      </x:c>
      <x:c r="H4" s="54" t="n">
        <x:f>'Financing'!B6</x:f>
        <x:v>400000</x:v>
      </x:c>
      <x:c r="I4" s="54" t="n">
        <x:v>0</x:v>
      </x:c>
      <x:c r="J4" s="54" t="n">
        <x:v>0</x:v>
      </x:c>
      <x:c r="K4" s="54" t="n">
        <x:f>B4-H4</x:f>
        <x:v>250000</x:v>
      </x:c>
      <x:c r="L4" s="54" t="n">
        <x:f>-'Acquisition Costs'!B19</x:f>
        <x:v>-418000</x:v>
      </x:c>
      <x:c r="M4" s="54" t="n">
        <x:f>K4+J4+L4</x:f>
        <x:v>-168000</x:v>
      </x:c>
      <x:c r="N4" s="54" t="n">
        <x:f>-'Acquisition Costs'!B19</x:f>
        <x:v>-418000</x:v>
      </x:c>
    </x:row>
    <x:row r="5">
      <x:c r="A5" s="72" t="n">
        <x:v>1</x:v>
      </x:c>
      <x:c r="B5" s="54" t="n">
        <x:f>B4*(1+'Assumptions'!B60)</x:f>
        <x:v>669500</x:v>
      </x:c>
      <x:c r="C5" s="54" t="n">
        <x:f>'Revenue Model'!B19*(1+'Assumptions'!B30)^(A5-1)</x:f>
        <x:v>213000</x:v>
      </x:c>
      <x:c r="D5" s="54" t="n">
        <x:f>'Operating Costs'!B21*(1+'Assumptions'!B59)^(A5-1)</x:f>
        <x:v>101166.66666666667</x:v>
      </x:c>
      <x:c r="E5" s="54" t="n">
        <x:f>C5-D5</x:f>
        <x:v>111833.33333333333</x:v>
      </x:c>
      <x:c r="F5" s="54" t="n">
        <x:f>'Financing'!B10</x:f>
        <x:v>31132.708635274335</x:v>
      </x:c>
      <x:c r="G5" s="54" t="n">
        <x:f>E5-F5</x:f>
        <x:v>80700.624698059</x:v>
      </x:c>
      <x:c r="H5" s="54" t="n">
        <x:f>-FV('Financing'!B7/12,A5*12,'Financing'!B9,'Financing'!B6)</x:f>
        <x:v>459965.34147561924</x:v>
      </x:c>
      <x:c r="I5" s="54" t="n">
        <x:f>IF(A5=10,B5*(1-'Assumptions'!B61)-H5,0)</x:f>
        <x:v>0</x:v>
      </x:c>
      <x:c r="J5" s="54" t="n">
        <x:f>J4+G5</x:f>
        <x:v>80700.624698059</x:v>
      </x:c>
      <x:c r="K5" s="54" t="n">
        <x:f>B5-H5</x:f>
        <x:v>209534.65852438076</x:v>
      </x:c>
      <x:c r="L5" s="54" t="n">
        <x:v>0</x:v>
      </x:c>
      <x:c r="M5" s="54" t="n">
        <x:f>J5+K5+L5</x:f>
        <x:v>290235.28322243976</x:v>
      </x:c>
      <x:c r="N5" s="54" t="n">
        <x:f>IF(A5=10,G5+I5,G5)</x:f>
        <x:v>80700.624698059</x:v>
      </x:c>
    </x:row>
    <x:row r="6">
      <x:c r="A6" s="72" t="n">
        <x:v>2</x:v>
      </x:c>
      <x:c r="B6" s="54" t="n">
        <x:f>B5*(1+'Assumptions'!B60)</x:f>
        <x:v>689585</x:v>
      </x:c>
      <x:c r="C6" s="54" t="n">
        <x:f>'Revenue Model'!B19*(1+'Assumptions'!B30)^(A6-1)</x:f>
        <x:v>219390</x:v>
      </x:c>
      <x:c r="D6" s="54" t="n">
        <x:f>'Operating Costs'!B21*(1+'Assumptions'!B59)^(A6-1)</x:f>
        <x:v>104201.66666666667</x:v>
      </x:c>
      <x:c r="E6" s="54" t="n">
        <x:f>C6-D6</x:f>
        <x:v>115188.33333333333</x:v>
      </x:c>
      <x:c r="F6" s="54" t="n">
        <x:f>'Financing'!B10</x:f>
        <x:v>31132.708635274335</x:v>
      </x:c>
      <x:c r="G6" s="54" t="n">
        <x:f>E6-F6</x:f>
        <x:v>84055.624698059</x:v>
      </x:c>
      <x:c r="H6" s="54" t="n">
        <x:f>-FV('Financing'!B7/12,A6*12,'Financing'!B9,'Financing'!B6)</x:f>
        <x:v>524105.9459440098</x:v>
      </x:c>
      <x:c r="I6" s="54" t="n">
        <x:f>IF(A6=10,B6*(1-'Assumptions'!B61)-H6,0)</x:f>
        <x:v>0</x:v>
      </x:c>
      <x:c r="J6" s="54" t="n">
        <x:f>J5+G6</x:f>
        <x:v>164756.249396118</x:v>
      </x:c>
      <x:c r="K6" s="54" t="n">
        <x:f>B6-H6</x:f>
        <x:v>165479.0540559902</x:v>
      </x:c>
      <x:c r="L6" s="54" t="n">
        <x:v>0</x:v>
      </x:c>
      <x:c r="M6" s="54" t="n">
        <x:f>J6+K6+L6</x:f>
        <x:v>330235.3034521082</x:v>
      </x:c>
      <x:c r="N6" s="54" t="n">
        <x:f>IF(A6=10,G6+I6,G6)</x:f>
        <x:v>84055.624698059</x:v>
      </x:c>
    </x:row>
    <x:row r="7">
      <x:c r="A7" s="72" t="n">
        <x:v>3</x:v>
      </x:c>
      <x:c r="B7" s="54" t="n">
        <x:f>B6*(1+'Assumptions'!B60)</x:f>
        <x:v>710272.55</x:v>
      </x:c>
      <x:c r="C7" s="54" t="n">
        <x:f>'Revenue Model'!B19*(1+'Assumptions'!B30)^(A7-1)</x:f>
        <x:v>225971.69999999998</x:v>
      </x:c>
      <x:c r="D7" s="54" t="n">
        <x:f>'Operating Costs'!B21*(1+'Assumptions'!B59)^(A7-1)</x:f>
        <x:v>107327.71666666667</x:v>
      </x:c>
      <x:c r="E7" s="54" t="n">
        <x:f>C7-D7</x:f>
        <x:v>118643.98333333331</x:v>
      </x:c>
      <x:c r="F7" s="54" t="n">
        <x:f>'Financing'!B10</x:f>
        <x:v>31132.708635274335</x:v>
      </x:c>
      <x:c r="G7" s="54" t="n">
        <x:f>E7-F7</x:f>
        <x:v>87511.27469805897</x:v>
      </x:c>
      <x:c r="H7" s="54" t="n">
        <x:f>-FV('Financing'!B7/12,A7*12,'Financing'!B9,'Financing'!B6)</x:f>
        <x:v>592712.5283520028</x:v>
      </x:c>
      <x:c r="I7" s="54" t="n">
        <x:f>IF(A7=10,B7*(1-'Assumptions'!B61)-H7,0)</x:f>
        <x:v>0</x:v>
      </x:c>
      <x:c r="J7" s="54" t="n">
        <x:f>J6+G7</x:f>
        <x:v>252267.52409417694</x:v>
      </x:c>
      <x:c r="K7" s="54" t="n">
        <x:f>B7-H7</x:f>
        <x:v>117560.0216479972</x:v>
      </x:c>
      <x:c r="L7" s="54" t="n">
        <x:v>0</x:v>
      </x:c>
      <x:c r="M7" s="54" t="n">
        <x:f>J7+K7+L7</x:f>
        <x:v>369827.54574217414</x:v>
      </x:c>
      <x:c r="N7" s="54" t="n">
        <x:f>IF(A7=10,G7+I7,G7)</x:f>
        <x:v>87511.27469805897</x:v>
      </x:c>
    </x:row>
    <x:row r="8">
      <x:c r="A8" s="72" t="n">
        <x:v>4</x:v>
      </x:c>
      <x:c r="B8" s="54" t="n">
        <x:f>B7*(1+'Assumptions'!B60)</x:f>
        <x:v>731580.7265000001</x:v>
      </x:c>
      <x:c r="C8" s="54" t="n">
        <x:f>'Revenue Model'!B19*(1+'Assumptions'!B30)^(A8-1)</x:f>
        <x:v>232750.851</x:v>
      </x:c>
      <x:c r="D8" s="54" t="n">
        <x:f>'Operating Costs'!B21*(1+'Assumptions'!B59)^(A8-1)</x:f>
        <x:v>110547.54816666667</x:v>
      </x:c>
      <x:c r="E8" s="54" t="n">
        <x:f>C8-D8</x:f>
        <x:v>122203.30283333332</x:v>
      </x:c>
      <x:c r="F8" s="54" t="n">
        <x:f>'Financing'!B10</x:f>
        <x:v>31132.708635274335</x:v>
      </x:c>
      <x:c r="G8" s="54" t="n">
        <x:f>E8-F8</x:f>
        <x:v>91070.59419805899</x:v>
      </x:c>
      <x:c r="H8" s="54" t="n">
        <x:f>-FV('Financing'!B7/12,A8*12,'Financing'!B9,'Financing'!B6)</x:f>
        <x:v>666096.0455283079</x:v>
      </x:c>
      <x:c r="I8" s="54" t="n">
        <x:f>IF(A8=10,B8*(1-'Assumptions'!B61)-H8,0)</x:f>
        <x:v>0</x:v>
      </x:c>
      <x:c r="J8" s="54" t="n">
        <x:f>J7+G8</x:f>
        <x:v>343338.11829223594</x:v>
      </x:c>
      <x:c r="K8" s="54" t="n">
        <x:f>B8-H8</x:f>
        <x:v>65484.6809716922</x:v>
      </x:c>
      <x:c r="L8" s="54" t="n">
        <x:v>0</x:v>
      </x:c>
      <x:c r="M8" s="54" t="n">
        <x:f>J8+K8+L8</x:f>
        <x:v>408822.79926392814</x:v>
      </x:c>
      <x:c r="N8" s="54" t="n">
        <x:f>IF(A8=10,G8+I8,G8)</x:f>
        <x:v>91070.59419805899</x:v>
      </x:c>
    </x:row>
    <x:row r="9">
      <x:c r="A9" s="72" t="n">
        <x:v>5</x:v>
      </x:c>
      <x:c r="B9" s="54" t="n">
        <x:f>B8*(1+'Assumptions'!B60)</x:f>
        <x:v>753528.1482950001</x:v>
      </x:c>
      <x:c r="C9" s="54" t="n">
        <x:f>'Revenue Model'!B19*(1+'Assumptions'!B30)^(A9-1)</x:f>
        <x:v>239733.37652999998</x:v>
      </x:c>
      <x:c r="D9" s="54" t="n">
        <x:f>'Operating Costs'!B21*(1+'Assumptions'!B59)^(A9-1)</x:f>
        <x:v>113863.97461166666</x:v>
      </x:c>
      <x:c r="E9" s="54" t="n">
        <x:f>C9-D9</x:f>
        <x:v>125869.40191833331</x:v>
      </x:c>
      <x:c r="F9" s="54" t="n">
        <x:f>'Financing'!B10</x:f>
        <x:v>31132.708635274335</x:v>
      </x:c>
      <x:c r="G9" s="54" t="n">
        <x:f>E9-F9</x:f>
        <x:v>94736.69328305898</x:v>
      </x:c>
      <x:c r="H9" s="54" t="n">
        <x:f>-FV('Financing'!B7/12,A9*12,'Financing'!B9,'Financing'!B6)</x:f>
        <x:v>744589.1055839815</x:v>
      </x:c>
      <x:c r="I9" s="54" t="n">
        <x:f>IF(A9=10,B9*(1-'Assumptions'!B61)-H9,0)</x:f>
        <x:v>0</x:v>
      </x:c>
      <x:c r="J9" s="54" t="n">
        <x:f>J8+G9</x:f>
        <x:v>438074.81157529494</x:v>
      </x:c>
      <x:c r="K9" s="54" t="n">
        <x:f>B9-H9</x:f>
        <x:v>8939.042711018585</x:v>
      </x:c>
      <x:c r="L9" s="54" t="n">
        <x:v>0</x:v>
      </x:c>
      <x:c r="M9" s="54" t="n">
        <x:f>J9+K9+L9</x:f>
        <x:v>447013.8542863135</x:v>
      </x:c>
      <x:c r="N9" s="54" t="n">
        <x:f>IF(A9=10,G9+I9,G9)</x:f>
        <x:v>94736.69328305898</x:v>
      </x:c>
    </x:row>
    <x:row r="10">
      <x:c r="A10" s="72" t="n">
        <x:v>6</x:v>
      </x:c>
      <x:c r="B10" s="54" t="n">
        <x:f>B9*(1+'Assumptions'!B60)</x:f>
        <x:v>776133.9927438501</x:v>
      </x:c>
      <x:c r="C10" s="54" t="n">
        <x:f>'Revenue Model'!B19*(1+'Assumptions'!B30)^(A10-1)</x:f>
        <x:v>246925.37782589998</x:v>
      </x:c>
      <x:c r="D10" s="54" t="n">
        <x:f>'Operating Costs'!B21*(1+'Assumptions'!B59)^(A10-1)</x:f>
        <x:v>117279.89385001666</x:v>
      </x:c>
      <x:c r="E10" s="54" t="n">
        <x:f>C10-D10</x:f>
        <x:v>129645.48397588333</x:v>
      </x:c>
      <x:c r="F10" s="54" t="n">
        <x:f>'Financing'!B10</x:f>
        <x:v>31132.708635274335</x:v>
      </x:c>
      <x:c r="G10" s="54" t="n">
        <x:f>E10-F10</x:f>
        <x:v>98512.77534060899</x:v>
      </x:c>
      <x:c r="H10" s="54" t="n">
        <x:f>-FV('Financing'!B7/12,A10*12,'Financing'!B9,'Financing'!B6)</x:f>
        <x:v>828547.4754465381</x:v>
      </x:c>
      <x:c r="I10" s="54" t="n">
        <x:f>IF(A10=10,B10*(1-'Assumptions'!B61)-H10,0)</x:f>
        <x:v>0</x:v>
      </x:c>
      <x:c r="J10" s="54" t="n">
        <x:f>J9+G10</x:f>
        <x:v>536587.586915904</x:v>
      </x:c>
      <x:c r="K10" s="54" t="n">
        <x:f>B10-H10</x:f>
        <x:v>-52413.482702687965</x:v>
      </x:c>
      <x:c r="L10" s="54" t="n">
        <x:v>0</x:v>
      </x:c>
      <x:c r="M10" s="54" t="n">
        <x:f>J10+K10+L10</x:f>
        <x:v>484174.104213216</x:v>
      </x:c>
      <x:c r="N10" s="54" t="n">
        <x:f>IF(A10=10,G10+I10,G10)</x:f>
        <x:v>98512.77534060899</x:v>
      </x:c>
    </x:row>
    <x:row r="11">
      <x:c r="A11" s="72" t="n">
        <x:v>7</x:v>
      </x:c>
      <x:c r="B11" s="54" t="n">
        <x:f>B10*(1+'Assumptions'!B60)</x:f>
        <x:v>799418.0125261656</x:v>
      </x:c>
      <x:c r="C11" s="54" t="n">
        <x:f>'Revenue Model'!B19*(1+'Assumptions'!B30)^(A11-1)</x:f>
        <x:v>254333.13916067698</x:v>
      </x:c>
      <x:c r="D11" s="54" t="n">
        <x:f>'Operating Costs'!B21*(1+'Assumptions'!B59)^(A11-1)</x:f>
        <x:v>120798.29066551717</x:v>
      </x:c>
      <x:c r="E11" s="54" t="n">
        <x:f>C11-D11</x:f>
        <x:v>133534.84849515982</x:v>
      </x:c>
      <x:c r="F11" s="54" t="n">
        <x:f>'Financing'!B10</x:f>
        <x:v>31132.708635274335</x:v>
      </x:c>
      <x:c r="G11" s="54" t="n">
        <x:f>E11-F11</x:f>
        <x:v>102402.13985988549</x:v>
      </x:c>
      <x:c r="H11" s="54" t="n">
        <x:f>-FV('Financing'!B7/12,A11*12,'Financing'!B9,'Financing'!B6)</x:f>
        <x:v>918351.6933605573</x:v>
      </x:c>
      <x:c r="I11" s="54" t="n">
        <x:f>IF(A11=10,B11*(1-'Assumptions'!B61)-H11,0)</x:f>
        <x:v>0</x:v>
      </x:c>
      <x:c r="J11" s="54" t="n">
        <x:f>J10+G11</x:f>
        <x:v>638989.7267757894</x:v>
      </x:c>
      <x:c r="K11" s="54" t="n">
        <x:f>B11-H11</x:f>
        <x:v>-118933.68083439174</x:v>
      </x:c>
      <x:c r="L11" s="54" t="n">
        <x:v>0</x:v>
      </x:c>
      <x:c r="M11" s="54" t="n">
        <x:f>J11+K11+L11</x:f>
        <x:v>520056.04594139766</x:v>
      </x:c>
      <x:c r="N11" s="54" t="n">
        <x:f>IF(A11=10,G11+I11,G11)</x:f>
        <x:v>102402.13985988549</x:v>
      </x:c>
    </x:row>
    <x:row r="12">
      <x:c r="A12" s="72" t="n">
        <x:v>8</x:v>
      </x:c>
      <x:c r="B12" s="54" t="n">
        <x:f>B11*(1+'Assumptions'!B60)</x:f>
        <x:v>823400.5529019505</x:v>
      </x:c>
      <x:c r="C12" s="54" t="n">
        <x:f>'Revenue Model'!B19*(1+'Assumptions'!B30)^(A12-1)</x:f>
        <x:v>261963.13333549732</x:v>
      </x:c>
      <x:c r="D12" s="54" t="n">
        <x:f>'Operating Costs'!B21*(1+'Assumptions'!B59)^(A12-1)</x:f>
        <x:v>124422.23938548268</x:v>
      </x:c>
      <x:c r="E12" s="54" t="n">
        <x:f>C12-D12</x:f>
        <x:v>137540.89395001464</x:v>
      </x:c>
      <x:c r="F12" s="54" t="n">
        <x:f>'Financing'!B10</x:f>
        <x:v>31132.708635274335</x:v>
      </x:c>
      <x:c r="G12" s="54" t="n">
        <x:f>E12-F12</x:f>
        <x:v>106408.1853147403</x:v>
      </x:c>
      <x:c r="H12" s="54" t="n">
        <x:f>-FV('Financing'!B7/12,A12*12,'Financing'!B9,'Financing'!B6)</x:f>
        <x:v>1014408.7936633751</x:v>
      </x:c>
      <x:c r="I12" s="54" t="n">
        <x:f>IF(A12=10,B12*(1-'Assumptions'!B61)-H12,0)</x:f>
        <x:v>0</x:v>
      </x:c>
      <x:c r="J12" s="54" t="n">
        <x:f>J11+G12</x:f>
        <x:v>745397.9120905297</x:v>
      </x:c>
      <x:c r="K12" s="54" t="n">
        <x:f>B12-H12</x:f>
        <x:v>-191008.24076142453</x:v>
      </x:c>
      <x:c r="L12" s="54" t="n">
        <x:v>0</x:v>
      </x:c>
      <x:c r="M12" s="54" t="n">
        <x:f>J12+K12+L12</x:f>
        <x:v>554389.6713291052</x:v>
      </x:c>
      <x:c r="N12" s="54" t="n">
        <x:f>IF(A12=10,G12+I12,G12)</x:f>
        <x:v>106408.1853147403</x:v>
      </x:c>
    </x:row>
    <x:row r="13">
      <x:c r="A13" s="72" t="n">
        <x:v>9</x:v>
      </x:c>
      <x:c r="B13" s="54" t="n">
        <x:f>B12*(1+'Assumptions'!B60)</x:f>
        <x:v>848102.5694890091</x:v>
      </x:c>
      <x:c r="C13" s="54" t="n">
        <x:f>'Revenue Model'!B19*(1+'Assumptions'!B30)^(A13-1)</x:f>
        <x:v>269822.0273355622</x:v>
      </x:c>
      <x:c r="D13" s="54" t="n">
        <x:f>'Operating Costs'!B21*(1+'Assumptions'!B59)^(A13-1)</x:f>
        <x:v>128154.90656704715</x:v>
      </x:c>
      <x:c r="E13" s="54" t="n">
        <x:f>C13-D13</x:f>
        <x:v>141667.12076851507</x:v>
      </x:c>
      <x:c r="F13" s="54" t="n">
        <x:f>'Financing'!B10</x:f>
        <x:v>31132.708635274335</x:v>
      </x:c>
      <x:c r="G13" s="54" t="n">
        <x:f>E13-F13</x:f>
        <x:v>110534.41213324074</x:v>
      </x:c>
      <x:c r="H13" s="54" t="n">
        <x:f>-FV('Financing'!B7/12,A13*12,'Financing'!B9,'Financing'!B6)</x:f>
        <x:v>1117154.1516533494</x:v>
      </x:c>
      <x:c r="I13" s="54" t="n">
        <x:f>IF(A13=10,B13*(1-'Assumptions'!B61)-H13,0)</x:f>
        <x:v>0</x:v>
      </x:c>
      <x:c r="J13" s="54" t="n">
        <x:f>J12+G13</x:f>
        <x:v>855932.3242237704</x:v>
      </x:c>
      <x:c r="K13" s="54" t="n">
        <x:f>B13-H13</x:f>
        <x:v>-269051.5821643403</x:v>
      </x:c>
      <x:c r="L13" s="54" t="n">
        <x:v>0</x:v>
      </x:c>
      <x:c r="M13" s="54" t="n">
        <x:f>J13+K13+L13</x:f>
        <x:v>586880.7420594301</x:v>
      </x:c>
      <x:c r="N13" s="54" t="n">
        <x:f>IF(A13=10,G13+I13,G13)</x:f>
        <x:v>110534.41213324074</x:v>
      </x:c>
    </x:row>
    <x:row r="14">
      <x:c r="A14" s="72" t="n">
        <x:v>10</x:v>
      </x:c>
      <x:c r="B14" s="54" t="n">
        <x:f>B13*(1+'Assumptions'!B60)</x:f>
        <x:v>873545.6465736794</x:v>
      </x:c>
      <x:c r="C14" s="54" t="n">
        <x:f>'Revenue Model'!B19*(1+'Assumptions'!B30)^(A14-1)</x:f>
        <x:v>277916.6881556291</x:v>
      </x:c>
      <x:c r="D14" s="54" t="n">
        <x:f>'Operating Costs'!B21*(1+'Assumptions'!B59)^(A14-1)</x:f>
        <x:v>131999.55376405857</x:v>
      </x:c>
      <x:c r="E14" s="54" t="n">
        <x:f>C14-D14</x:f>
        <x:v>145917.13439157052</x:v>
      </x:c>
      <x:c r="F14" s="54" t="n">
        <x:f>'Financing'!B10</x:f>
        <x:v>31132.708635274335</x:v>
      </x:c>
      <x:c r="G14" s="54" t="n">
        <x:f>E14-F14</x:f>
        <x:v>114784.42575629619</x:v>
      </x:c>
      <x:c r="H14" s="54" t="n">
        <x:f>-FV('Financing'!B7/12,A14*12,'Financing'!B9,'Financing'!B6)</x:f>
        <x:v>1227053.4569124968</x:v>
      </x:c>
      <x:c r="I14" s="54" t="n">
        <x:f>IF(A14=10,B14*(1-'Assumptions'!B61)-H14,0)</x:f>
        <x:v>-414656.005598975</x:v>
      </x:c>
      <x:c r="J14" s="54" t="n">
        <x:f>J13+G14</x:f>
        <x:v>970716.7499800666</x:v>
      </x:c>
      <x:c r="K14" s="54" t="n">
        <x:f>B14-H14</x:f>
        <x:v>-353507.8103388174</x:v>
      </x:c>
      <x:c r="L14" s="54" t="n">
        <x:v>0</x:v>
      </x:c>
      <x:c r="M14" s="54" t="n">
        <x:f>J14+K14+L14</x:f>
        <x:v>617208.9396412491</x:v>
      </x:c>
      <x:c r="N14" s="54" t="n">
        <x:f>IF(A14=10,G14+I14,G14)</x:f>
        <x:v>-299871.5798426788</x:v>
      </x:c>
    </x:row>
    <x:row r="16">
      <x:c r="M16" s="10" t="str">
        <x:v>10-Year Levered IRR</x:v>
      </x:c>
      <x:c r="N16" s="74" t="n">
        <x:f>IRR(N4:N14)</x:f>
        <x:v>0.10055779265961814</x:v>
      </x:c>
    </x:row>
  </x:sheetData>
  <x:mergeCells>
    <x:mergeCell ref="A1:N1"/>
  </x:mergeCells>
  <x:pageMargins left="0.7" right="0.7" top="0.75" bottom="0.75" header="0.3" footer="0.3"/>
  <x:drawing xmlns:r="http://schemas.openxmlformats.org/officeDocument/2006/relationships" r:id="R86da8bf5f65e426b"/>
</x:worksheet>
</file>

<file path=xl/worksheets/sheet1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28" customHeight="1">
      <x:c r="A1" s="5" t="str">
        <x:v>Sensitivity Analysis</x:v>
      </x:c>
      <x:c r="B1" s="5" t="str">
        <x:v>Sensitivity Analysis</x:v>
      </x:c>
      <x:c r="C1" s="5" t="str">
        <x:v>Sensitivity Analysis</x:v>
      </x:c>
      <x:c r="D1" s="5" t="str">
        <x:v>Sensitivity Analysis</x:v>
      </x:c>
      <x:c r="E1" s="5" t="str">
        <x:v>Sensitivity Analysis</x:v>
      </x:c>
      <x:c r="F1" s="5" t="str">
        <x:v>Sensitivity Analysis</x:v>
      </x:c>
      <x:c r="G1" s="5" t="str">
        <x:v>Sensitivity Analysis</x:v>
      </x:c>
      <x:c r="H1" s="5" t="str">
        <x:v>Sensitivity Analysis</x:v>
      </x:c>
      <x:c r="I1" s="5" t="str">
        <x:v>Sensitivity Analysis</x:v>
      </x:c>
      <x:c r="J1" s="5" t="str">
        <x:v>Sensitivity Analysis</x:v>
      </x:c>
      <x:c r="K1" s="5" t="str">
        <x:v>Sensitivity Analysis</x:v>
      </x:c>
    </x:row>
    <x:row r="3">
      <x:c r="A3" s="17" t="str">
        <x:v>Airbnb Lodging Revenue Sensitivity</x:v>
      </x:c>
      <x:c r="B3" s="17" t="str">
        <x:v>Airbnb Lodging Revenue Sensitivity</x:v>
      </x:c>
      <x:c r="C3" s="17" t="str">
        <x:v>Airbnb Lodging Revenue Sensitivity</x:v>
      </x:c>
      <x:c r="D3" s="17" t="str">
        <x:v>Airbnb Lodging Revenue Sensitivity</x:v>
      </x:c>
      <x:c r="E3" s="17" t="str">
        <x:v>Airbnb Lodging Revenue Sensitivity</x:v>
      </x:c>
      <x:c r="F3" s="17" t="str">
        <x:v>Airbnb Lodging Revenue Sensitivity</x:v>
      </x:c>
      <x:c r="G3" s="17" t="str">
        <x:v>Airbnb Lodging Revenue Sensitivity</x:v>
      </x:c>
      <x:c r="H3" s="17" t="str">
        <x:v>Airbnb Lodging Revenue Sensitivity</x:v>
      </x:c>
    </x:row>
    <x:row r="4">
      <x:c r="A4" s="22" t="str">
        <x:v>Occupancy \ ADR</x:v>
      </x:c>
      <x:c r="B4" s="22" t="n">
        <x:v>300</x:v>
      </x:c>
      <x:c r="C4" s="22" t="n">
        <x:v>350</x:v>
      </x:c>
      <x:c r="D4" s="22" t="n">
        <x:v>400</x:v>
      </x:c>
      <x:c r="E4" s="22" t="n">
        <x:v>450</x:v>
      </x:c>
      <x:c r="F4" s="22" t="n">
        <x:v>500</x:v>
      </x:c>
      <x:c r="G4" s="22" t="n">
        <x:v>550</x:v>
      </x:c>
    </x:row>
    <x:row r="5">
      <x:c r="A5" s="50" t="n">
        <x:v>0.35</x:v>
      </x:c>
      <x:c r="B5" s="48" t="n">
        <x:f>$A5*'Assumptions'!$B$18*B$4</x:f>
        <x:v>24150</x:v>
      </x:c>
      <x:c r="C5" s="48" t="n">
        <x:f>$A5*'Assumptions'!$B$18*C$4</x:f>
        <x:v>28175</x:v>
      </x:c>
      <x:c r="D5" s="48" t="n">
        <x:f>$A5*'Assumptions'!$B$18*D$4</x:f>
        <x:v>32200</x:v>
      </x:c>
      <x:c r="E5" s="48" t="n">
        <x:f>$A5*'Assumptions'!$B$18*E$4</x:f>
        <x:v>36225</x:v>
      </x:c>
      <x:c r="F5" s="48" t="n">
        <x:f>$A5*'Assumptions'!$B$18*F$4</x:f>
        <x:v>40250</x:v>
      </x:c>
      <x:c r="G5" s="48" t="n">
        <x:f>$A5*'Assumptions'!$B$18*G$4</x:f>
        <x:v>44275</x:v>
      </x:c>
    </x:row>
    <x:row r="6">
      <x:c r="A6" s="50" t="n">
        <x:v>0.45</x:v>
      </x:c>
      <x:c r="B6" s="48" t="n">
        <x:f>$A6*'Assumptions'!$B$18*B$4</x:f>
        <x:v>31050</x:v>
      </x:c>
      <x:c r="C6" s="48" t="n">
        <x:f>$A6*'Assumptions'!$B$18*C$4</x:f>
        <x:v>36225</x:v>
      </x:c>
      <x:c r="D6" s="48" t="n">
        <x:f>$A6*'Assumptions'!$B$18*D$4</x:f>
        <x:v>41400</x:v>
      </x:c>
      <x:c r="E6" s="48" t="n">
        <x:f>$A6*'Assumptions'!$B$18*E$4</x:f>
        <x:v>46575</x:v>
      </x:c>
      <x:c r="F6" s="48" t="n">
        <x:f>$A6*'Assumptions'!$B$18*F$4</x:f>
        <x:v>51750</x:v>
      </x:c>
      <x:c r="G6" s="48" t="n">
        <x:f>$A6*'Assumptions'!$B$18*G$4</x:f>
        <x:v>56925</x:v>
      </x:c>
    </x:row>
    <x:row r="7">
      <x:c r="A7" s="50" t="n">
        <x:v>0.55</x:v>
      </x:c>
      <x:c r="B7" s="48" t="n">
        <x:f>$A7*'Assumptions'!$B$18*B$4</x:f>
        <x:v>37950.00000000001</x:v>
      </x:c>
      <x:c r="C7" s="48" t="n">
        <x:f>$A7*'Assumptions'!$B$18*C$4</x:f>
        <x:v>44275.00000000001</x:v>
      </x:c>
      <x:c r="D7" s="48" t="n">
        <x:f>$A7*'Assumptions'!$B$18*D$4</x:f>
        <x:v>50600.00000000001</x:v>
      </x:c>
      <x:c r="E7" s="48" t="n">
        <x:f>$A7*'Assumptions'!$B$18*E$4</x:f>
        <x:v>56925.00000000001</x:v>
      </x:c>
      <x:c r="F7" s="48" t="n">
        <x:f>$A7*'Assumptions'!$B$18*F$4</x:f>
        <x:v>63250.00000000001</x:v>
      </x:c>
      <x:c r="G7" s="48" t="n">
        <x:f>$A7*'Assumptions'!$B$18*G$4</x:f>
        <x:v>69575.00000000001</x:v>
      </x:c>
    </x:row>
    <x:row r="8">
      <x:c r="A8" s="50" t="n">
        <x:v>0.65</x:v>
      </x:c>
      <x:c r="B8" s="48" t="n">
        <x:f>$A8*'Assumptions'!$B$18*B$4</x:f>
        <x:v>44850</x:v>
      </x:c>
      <x:c r="C8" s="48" t="n">
        <x:f>$A8*'Assumptions'!$B$18*C$4</x:f>
        <x:v>52325</x:v>
      </x:c>
      <x:c r="D8" s="48" t="n">
        <x:f>$A8*'Assumptions'!$B$18*D$4</x:f>
        <x:v>59800</x:v>
      </x:c>
      <x:c r="E8" s="48" t="n">
        <x:f>$A8*'Assumptions'!$B$18*E$4</x:f>
        <x:v>67275</x:v>
      </x:c>
      <x:c r="F8" s="48" t="n">
        <x:f>$A8*'Assumptions'!$B$18*F$4</x:f>
        <x:v>74750</x:v>
      </x:c>
      <x:c r="G8" s="48" t="n">
        <x:f>$A8*'Assumptions'!$B$18*G$4</x:f>
        <x:v>82225</x:v>
      </x:c>
    </x:row>
    <x:row r="9">
      <x:c r="A9" s="50" t="n">
        <x:v>0.75</x:v>
      </x:c>
      <x:c r="B9" s="48" t="n">
        <x:f>$A9*'Assumptions'!$B$18*B$4</x:f>
        <x:v>51750</x:v>
      </x:c>
      <x:c r="C9" s="48" t="n">
        <x:f>$A9*'Assumptions'!$B$18*C$4</x:f>
        <x:v>60375</x:v>
      </x:c>
      <x:c r="D9" s="48" t="n">
        <x:f>$A9*'Assumptions'!$B$18*D$4</x:f>
        <x:v>69000</x:v>
      </x:c>
      <x:c r="E9" s="48" t="n">
        <x:f>$A9*'Assumptions'!$B$18*E$4</x:f>
        <x:v>77625</x:v>
      </x:c>
      <x:c r="F9" s="48" t="n">
        <x:f>$A9*'Assumptions'!$B$18*F$4</x:f>
        <x:v>86250</x:v>
      </x:c>
      <x:c r="G9" s="48" t="n">
        <x:f>$A9*'Assumptions'!$B$18*G$4</x:f>
        <x:v>94875</x:v>
      </x:c>
    </x:row>
    <x:row r="12">
      <x:c r="A12" s="17" t="str">
        <x:v>Wedding Revenue Sensitivity</x:v>
      </x:c>
      <x:c r="B12" s="17" t="str">
        <x:v>Wedding Revenue Sensitivity</x:v>
      </x:c>
      <x:c r="C12" s="17" t="str">
        <x:v>Wedding Revenue Sensitivity</x:v>
      </x:c>
      <x:c r="D12" s="17" t="str">
        <x:v>Wedding Revenue Sensitivity</x:v>
      </x:c>
      <x:c r="E12" s="17" t="str">
        <x:v>Wedding Revenue Sensitivity</x:v>
      </x:c>
      <x:c r="F12" s="17" t="str">
        <x:v>Wedding Revenue Sensitivity</x:v>
      </x:c>
      <x:c r="G12" s="17" t="str">
        <x:v>Wedding Revenue Sensitivity</x:v>
      </x:c>
      <x:c r="H12" s="17" t="str">
        <x:v>Wedding Revenue Sensitivity</x:v>
      </x:c>
    </x:row>
    <x:row r="13">
      <x:c r="A13" s="22" t="str">
        <x:v>Weddings \ Venue fee</x:v>
      </x:c>
      <x:c r="B13" s="22" t="n">
        <x:v>8000</x:v>
      </x:c>
      <x:c r="C13" s="22" t="n">
        <x:v>10000</x:v>
      </x:c>
      <x:c r="D13" s="22" t="n">
        <x:v>12000</x:v>
      </x:c>
      <x:c r="E13" s="22" t="n">
        <x:v>15000</x:v>
      </x:c>
      <x:c r="F13" s="22" t="n">
        <x:v>18000</x:v>
      </x:c>
      <x:c r="G13" s="22" t="n">
        <x:v>22000</x:v>
      </x:c>
    </x:row>
    <x:row r="14">
      <x:c r="A14" t="n">
        <x:v>2</x:v>
      </x:c>
      <x:c r="B14" s="48" t="n">
        <x:f>$A14*B$13</x:f>
        <x:v>16000</x:v>
      </x:c>
      <x:c r="C14" s="48" t="n">
        <x:f>$A14*C$13</x:f>
        <x:v>20000</x:v>
      </x:c>
      <x:c r="D14" s="48" t="n">
        <x:f>$A14*D$13</x:f>
        <x:v>24000</x:v>
      </x:c>
      <x:c r="E14" s="48" t="n">
        <x:f>$A14*E$13</x:f>
        <x:v>30000</x:v>
      </x:c>
      <x:c r="F14" s="48" t="n">
        <x:f>$A14*F$13</x:f>
        <x:v>36000</x:v>
      </x:c>
      <x:c r="G14" s="48" t="n">
        <x:f>$A14*G$13</x:f>
        <x:v>44000</x:v>
      </x:c>
    </x:row>
    <x:row r="15">
      <x:c r="A15" t="n">
        <x:v>4</x:v>
      </x:c>
      <x:c r="B15" s="48" t="n">
        <x:f>$A15*B$13</x:f>
        <x:v>32000</x:v>
      </x:c>
      <x:c r="C15" s="48" t="n">
        <x:f>$A15*C$13</x:f>
        <x:v>40000</x:v>
      </x:c>
      <x:c r="D15" s="48" t="n">
        <x:f>$A15*D$13</x:f>
        <x:v>48000</x:v>
      </x:c>
      <x:c r="E15" s="48" t="n">
        <x:f>$A15*E$13</x:f>
        <x:v>60000</x:v>
      </x:c>
      <x:c r="F15" s="48" t="n">
        <x:f>$A15*F$13</x:f>
        <x:v>72000</x:v>
      </x:c>
      <x:c r="G15" s="48" t="n">
        <x:f>$A15*G$13</x:f>
        <x:v>88000</x:v>
      </x:c>
    </x:row>
    <x:row r="16">
      <x:c r="A16" t="n">
        <x:v>6</x:v>
      </x:c>
      <x:c r="B16" s="48" t="n">
        <x:f>$A16*B$13</x:f>
        <x:v>48000</x:v>
      </x:c>
      <x:c r="C16" s="48" t="n">
        <x:f>$A16*C$13</x:f>
        <x:v>60000</x:v>
      </x:c>
      <x:c r="D16" s="48" t="n">
        <x:f>$A16*D$13</x:f>
        <x:v>72000</x:v>
      </x:c>
      <x:c r="E16" s="48" t="n">
        <x:f>$A16*E$13</x:f>
        <x:v>90000</x:v>
      </x:c>
      <x:c r="F16" s="48" t="n">
        <x:f>$A16*F$13</x:f>
        <x:v>108000</x:v>
      </x:c>
      <x:c r="G16" s="48" t="n">
        <x:f>$A16*G$13</x:f>
        <x:v>132000</x:v>
      </x:c>
    </x:row>
    <x:row r="17">
      <x:c r="A17" t="n">
        <x:v>8</x:v>
      </x:c>
      <x:c r="B17" s="48" t="n">
        <x:f>$A17*B$13</x:f>
        <x:v>64000</x:v>
      </x:c>
      <x:c r="C17" s="48" t="n">
        <x:f>$A17*C$13</x:f>
        <x:v>80000</x:v>
      </x:c>
      <x:c r="D17" s="48" t="n">
        <x:f>$A17*D$13</x:f>
        <x:v>96000</x:v>
      </x:c>
      <x:c r="E17" s="48" t="n">
        <x:f>$A17*E$13</x:f>
        <x:v>120000</x:v>
      </x:c>
      <x:c r="F17" s="48" t="n">
        <x:f>$A17*F$13</x:f>
        <x:v>144000</x:v>
      </x:c>
      <x:c r="G17" s="48" t="n">
        <x:f>$A17*G$13</x:f>
        <x:v>176000</x:v>
      </x:c>
    </x:row>
    <x:row r="18">
      <x:c r="A18" t="n">
        <x:v>10</x:v>
      </x:c>
      <x:c r="B18" s="48" t="n">
        <x:f>$A18*B$13</x:f>
        <x:v>80000</x:v>
      </x:c>
      <x:c r="C18" s="48" t="n">
        <x:f>$A18*C$13</x:f>
        <x:v>100000</x:v>
      </x:c>
      <x:c r="D18" s="48" t="n">
        <x:f>$A18*D$13</x:f>
        <x:v>120000</x:v>
      </x:c>
      <x:c r="E18" s="48" t="n">
        <x:f>$A18*E$13</x:f>
        <x:v>150000</x:v>
      </x:c>
      <x:c r="F18" s="48" t="n">
        <x:f>$A18*F$13</x:f>
        <x:v>180000</x:v>
      </x:c>
      <x:c r="G18" s="48" t="n">
        <x:f>$A18*G$13</x:f>
        <x:v>220000</x:v>
      </x:c>
    </x:row>
    <x:row r="21">
      <x:c r="A21" s="17" t="str">
        <x:v>Combined Stress Cases</x:v>
      </x:c>
      <x:c r="B21" s="17" t="str">
        <x:v>Combined Stress Cases</x:v>
      </x:c>
      <x:c r="C21" s="17" t="str">
        <x:v>Combined Stress Cases</x:v>
      </x:c>
      <x:c r="D21" s="17" t="str">
        <x:v>Combined Stress Cases</x:v>
      </x:c>
      <x:c r="E21" s="17" t="str">
        <x:v>Combined Stress Cases</x:v>
      </x:c>
      <x:c r="F21" s="17" t="str">
        <x:v>Combined Stress Cases</x:v>
      </x:c>
      <x:c r="G21" s="17" t="str">
        <x:v>Combined Stress Cases</x:v>
      </x:c>
      <x:c r="H21" s="17" t="str">
        <x:v>Combined Stress Cases</x:v>
      </x:c>
    </x:row>
    <x:row r="22">
      <x:c r="A22" s="22" t="str">
        <x:v>Case</x:v>
      </x:c>
      <x:c r="B22" s="22" t="str">
        <x:v>Occupancy</x:v>
      </x:c>
      <x:c r="C22" s="22" t="str">
        <x:v>ADR</x:v>
      </x:c>
      <x:c r="D22" s="22" t="str">
        <x:v>Weddings</x:v>
      </x:c>
      <x:c r="E22" s="22" t="str">
        <x:v>Wedding fee</x:v>
      </x:c>
      <x:c r="F22" s="22" t="str">
        <x:v>Gross revenue</x:v>
      </x:c>
    </x:row>
    <x:row r="23">
      <x:c r="A23" t="str">
        <x:v>Stress</x:v>
      </x:c>
      <x:c r="B23" s="32" t="n">
        <x:v>0.35</x:v>
      </x:c>
      <x:c r="C23" s="30" t="n">
        <x:v>325</x:v>
      </x:c>
      <x:c r="D23" s="28" t="n">
        <x:v>2</x:v>
      </x:c>
      <x:c r="E23" s="30" t="n">
        <x:v>9000</x:v>
      </x:c>
      <x:c r="F23" s="48" t="n">
        <x:f>B23*'Assumptions'!B18*C23+D23*E23</x:f>
        <x:v>44162.5</x:v>
      </x:c>
    </x:row>
    <x:row r="24">
      <x:c r="A24" t="str">
        <x:v>Low</x:v>
      </x:c>
      <x:c r="B24" s="32" t="n">
        <x:v>0.45</x:v>
      </x:c>
      <x:c r="C24" s="30" t="n">
        <x:v>375</x:v>
      </x:c>
      <x:c r="D24" s="28" t="n">
        <x:v>4</x:v>
      </x:c>
      <x:c r="E24" s="30" t="n">
        <x:v>10000</x:v>
      </x:c>
      <x:c r="F24" s="48" t="n">
        <x:f>B24*'Assumptions'!B18*C24+D24*E24</x:f>
        <x:v>78812.5</x:v>
      </x:c>
    </x:row>
    <x:row r="25">
      <x:c r="A25" t="str">
        <x:v>Base</x:v>
      </x:c>
      <x:c r="B25" s="32" t="n">
        <x:v>0.5</x:v>
      </x:c>
      <x:c r="C25" s="30" t="n">
        <x:v>425</x:v>
      </x:c>
      <x:c r="D25" s="28" t="n">
        <x:v>6</x:v>
      </x:c>
      <x:c r="E25" s="30" t="n">
        <x:v>12000</x:v>
      </x:c>
      <x:c r="F25" s="48" t="n">
        <x:f>B25*'Assumptions'!B18*C25+D25*E25</x:f>
        <x:v>120875</x:v>
      </x:c>
    </x:row>
    <x:row r="26">
      <x:c r="A26" t="str">
        <x:v>High</x:v>
      </x:c>
      <x:c r="B26" s="32" t="n">
        <x:v>0.65</x:v>
      </x:c>
      <x:c r="C26" s="30" t="n">
        <x:v>500</x:v>
      </x:c>
      <x:c r="D26" s="28" t="n">
        <x:v>10</x:v>
      </x:c>
      <x:c r="E26" s="30" t="n">
        <x:v>18000</x:v>
      </x:c>
      <x:c r="F26" s="48" t="n">
        <x:f>B26*'Assumptions'!B18*C26+D26*E26</x:f>
        <x:v>254750</x:v>
      </x:c>
    </x:row>
  </x:sheetData>
  <x:mergeCells>
    <x:mergeCell ref="A1:K1"/>
    <x:mergeCell ref="A3:H3"/>
    <x:mergeCell ref="A12:H12"/>
    <x:mergeCell ref="A21:H21"/>
  </x:mergeCells>
  <x:conditionalFormatting sqref="B5:G9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B14:G18">
    <x:cfRule type="colorScale" priority="2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55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35" hidden="0" customWidth="1"/>
    <x:col min="8" max="8" width="35" hidden="0" customWidth="1"/>
  </x:cols>
  <x:sheetData>
    <x:row r="1" ht="28" customHeight="1">
      <x:c r="A1" s="5" t="str">
        <x:v>Property &amp; Venue Due-Diligence Checklist</x:v>
      </x:c>
      <x:c r="B1" s="5" t="str">
        <x:v>Property &amp; Venue Due-Diligence Checklist</x:v>
      </x:c>
      <x:c r="C1" s="5" t="str">
        <x:v>Property &amp; Venue Due-Diligence Checklist</x:v>
      </x:c>
      <x:c r="D1" s="5" t="str">
        <x:v>Property &amp; Venue Due-Diligence Checklist</x:v>
      </x:c>
      <x:c r="E1" s="5" t="str">
        <x:v>Property &amp; Venue Due-Diligence Checklist</x:v>
      </x:c>
      <x:c r="F1" s="5" t="str">
        <x:v>Property &amp; Venue Due-Diligence Checklist</x:v>
      </x:c>
      <x:c r="G1" s="5" t="str">
        <x:v>Property &amp; Venue Due-Diligence Checklist</x:v>
      </x:c>
      <x:c r="H1" s="5" t="str">
        <x:v>Property &amp; Venue Due-Diligence Checklist</x:v>
      </x:c>
    </x:row>
    <x:row r="3">
      <x:c r="A3" s="22" t="str">
        <x:v>Category</x:v>
      </x:c>
      <x:c r="B3" s="22" t="str">
        <x:v>Question / evidence</x:v>
      </x:c>
      <x:c r="C3" s="22" t="str">
        <x:v>Status</x:v>
      </x:c>
      <x:c r="D3" s="22" t="str">
        <x:v>Score (1-5)</x:v>
      </x:c>
      <x:c r="E3" s="22" t="str">
        <x:v>Owner</x:v>
      </x:c>
      <x:c r="F3" s="22" t="str">
        <x:v>Due date</x:v>
      </x:c>
      <x:c r="G3" s="22" t="str">
        <x:v>Source / document</x:v>
      </x:c>
      <x:c r="H3" s="22" t="str">
        <x:v>Notes</x:v>
      </x:c>
    </x:row>
    <x:row r="4">
      <x:c r="A4" t="str">
        <x:v>Legal</x:v>
      </x:c>
      <x:c r="B4" t="str">
        <x:v>Written confirmation STR use is permitted</x:v>
      </x:c>
      <x:c r="C4" s="28" t="str">
        <x:v>Not started</x:v>
      </x:c>
      <x:c r="D4" s="28" t="n">
        <x:v>1</x:v>
      </x:c>
      <x:c r="E4" s="28" t="str"/>
      <x:c r="F4" s="28" t="str"/>
      <x:c r="G4" s="28" t="str"/>
      <x:c r="H4" s="28" t="str"/>
    </x:row>
    <x:row r="5">
      <x:c r="A5" t="str">
        <x:v>Legal</x:v>
      </x:c>
      <x:c r="B5" t="str">
        <x:v>Written confirmation weddings/events are permitted</x:v>
      </x:c>
      <x:c r="C5" s="28" t="str">
        <x:v>Not started</x:v>
      </x:c>
      <x:c r="D5" s="28" t="n">
        <x:v>1</x:v>
      </x:c>
      <x:c r="E5" s="28" t="str"/>
      <x:c r="F5" s="28" t="str"/>
      <x:c r="G5" s="28" t="str"/>
      <x:c r="H5" s="28" t="str"/>
    </x:row>
    <x:row r="6">
      <x:c r="A6" t="str">
        <x:v>Legal</x:v>
      </x:c>
      <x:c r="B6" t="str">
        <x:v>Occupancy, noise, parking, fire and tent rules</x:v>
      </x:c>
      <x:c r="C6" s="28" t="str">
        <x:v>Not started</x:v>
      </x:c>
      <x:c r="D6" s="28" t="n">
        <x:v>1</x:v>
      </x:c>
      <x:c r="E6" s="28" t="str"/>
      <x:c r="F6" s="28" t="str"/>
      <x:c r="G6" s="28" t="str"/>
      <x:c r="H6" s="28" t="str"/>
    </x:row>
    <x:row r="7">
      <x:c r="A7" t="str">
        <x:v>Access</x:v>
      </x:c>
      <x:c r="B7" t="str">
        <x:v>Drive time from Brooklyn during Friday traffic</x:v>
      </x:c>
      <x:c r="C7" s="28" t="str">
        <x:v>Not started</x:v>
      </x:c>
      <x:c r="D7" s="28" t="n">
        <x:v>1</x:v>
      </x:c>
      <x:c r="E7" s="28" t="str"/>
      <x:c r="F7" s="28" t="str"/>
      <x:c r="G7" s="28" t="str"/>
      <x:c r="H7" s="28" t="str"/>
    </x:row>
    <x:row r="8">
      <x:c r="A8" t="str">
        <x:v>Access</x:v>
      </x:c>
      <x:c r="B8" t="str">
        <x:v>Distance to restaurant / town / rail hub</x:v>
      </x:c>
      <x:c r="C8" s="28" t="str">
        <x:v>Not started</x:v>
      </x:c>
      <x:c r="D8" s="28" t="n">
        <x:v>1</x:v>
      </x:c>
      <x:c r="E8" s="28" t="str"/>
      <x:c r="F8" s="28" t="str"/>
      <x:c r="G8" s="28" t="str"/>
      <x:c r="H8" s="28" t="str"/>
    </x:row>
    <x:row r="9">
      <x:c r="A9" t="str">
        <x:v>Wedding</x:v>
      </x:c>
      <x:c r="B9" t="str">
        <x:v>Indoor rain backup capacity</x:v>
      </x:c>
      <x:c r="C9" s="28" t="str">
        <x:v>Not started</x:v>
      </x:c>
      <x:c r="D9" s="28" t="n">
        <x:v>1</x:v>
      </x:c>
      <x:c r="E9" s="28" t="str"/>
      <x:c r="F9" s="28" t="str"/>
      <x:c r="G9" s="28" t="str"/>
      <x:c r="H9" s="28" t="str"/>
    </x:row>
    <x:row r="10">
      <x:c r="A10" t="str">
        <x:v>Wedding</x:v>
      </x:c>
      <x:c r="B10" t="str">
        <x:v>Guest capacity under fire / septic limits</x:v>
      </x:c>
      <x:c r="C10" s="28" t="str">
        <x:v>Not started</x:v>
      </x:c>
      <x:c r="D10" s="28" t="n">
        <x:v>1</x:v>
      </x:c>
      <x:c r="E10" s="28" t="str"/>
      <x:c r="F10" s="28" t="str"/>
      <x:c r="G10" s="28" t="str"/>
      <x:c r="H10" s="28" t="str"/>
    </x:row>
    <x:row r="11">
      <x:c r="A11" t="str">
        <x:v>Wedding</x:v>
      </x:c>
      <x:c r="B11" t="str">
        <x:v>Parking or shuttle turnaround</x:v>
      </x:c>
      <x:c r="C11" s="28" t="str">
        <x:v>Not started</x:v>
      </x:c>
      <x:c r="D11" s="28" t="n">
        <x:v>1</x:v>
      </x:c>
      <x:c r="E11" s="28" t="str"/>
      <x:c r="F11" s="28" t="str"/>
      <x:c r="G11" s="28" t="str"/>
      <x:c r="H11" s="28" t="str"/>
    </x:row>
    <x:row r="12">
      <x:c r="A12" t="str">
        <x:v>Wedding</x:v>
      </x:c>
      <x:c r="B12" t="str">
        <x:v>Catering prep, power, water and restrooms</x:v>
      </x:c>
      <x:c r="C12" s="28" t="str">
        <x:v>Not started</x:v>
      </x:c>
      <x:c r="D12" s="28" t="n">
        <x:v>1</x:v>
      </x:c>
      <x:c r="E12" s="28" t="str"/>
      <x:c r="F12" s="28" t="str"/>
      <x:c r="G12" s="28" t="str"/>
      <x:c r="H12" s="28" t="str"/>
    </x:row>
    <x:row r="13">
      <x:c r="A13" t="str">
        <x:v>Wedding</x:v>
      </x:c>
      <x:c r="B13" t="str">
        <x:v>Noise / curfew and neighbor sensitivity</x:v>
      </x:c>
      <x:c r="C13" s="28" t="str">
        <x:v>Not started</x:v>
      </x:c>
      <x:c r="D13" s="28" t="n">
        <x:v>1</x:v>
      </x:c>
      <x:c r="E13" s="28" t="str"/>
      <x:c r="F13" s="28" t="str"/>
      <x:c r="G13" s="28" t="str"/>
      <x:c r="H13" s="28" t="str"/>
    </x:row>
    <x:row r="14">
      <x:c r="A14" t="str">
        <x:v>Property</x:v>
      </x:c>
      <x:c r="B14" t="str">
        <x:v>Roof, drainage, foundation, septic and well</x:v>
      </x:c>
      <x:c r="C14" s="28" t="str">
        <x:v>Not started</x:v>
      </x:c>
      <x:c r="D14" s="28" t="n">
        <x:v>1</x:v>
      </x:c>
      <x:c r="E14" s="28" t="str"/>
      <x:c r="F14" s="28" t="str"/>
      <x:c r="G14" s="28" t="str"/>
      <x:c r="H14" s="28" t="str"/>
    </x:row>
    <x:row r="15">
      <x:c r="A15" t="str">
        <x:v>Property</x:v>
      </x:c>
      <x:c r="B15" t="str">
        <x:v>Generator / electrical service / internet</x:v>
      </x:c>
      <x:c r="C15" s="28" t="str">
        <x:v>Not started</x:v>
      </x:c>
      <x:c r="D15" s="28" t="n">
        <x:v>1</x:v>
      </x:c>
      <x:c r="E15" s="28" t="str"/>
      <x:c r="F15" s="28" t="str"/>
      <x:c r="G15" s="28" t="str"/>
      <x:c r="H15" s="28" t="str"/>
    </x:row>
    <x:row r="16">
      <x:c r="A16" t="str">
        <x:v>Financial</x:v>
      </x:c>
      <x:c r="B16" t="str">
        <x:v>Three or more Airbnb comps verified</x:v>
      </x:c>
      <x:c r="C16" s="28" t="str">
        <x:v>Not started</x:v>
      </x:c>
      <x:c r="D16" s="28" t="n">
        <x:v>1</x:v>
      </x:c>
      <x:c r="E16" s="28" t="str"/>
      <x:c r="F16" s="28" t="str"/>
      <x:c r="G16" s="28" t="str"/>
      <x:c r="H16" s="28" t="str"/>
    </x:row>
    <x:row r="17">
      <x:c r="A17" t="str">
        <x:v>Financial</x:v>
      </x:c>
      <x:c r="B17" t="str">
        <x:v>Three or more wedding comps verified</x:v>
      </x:c>
      <x:c r="C17" s="28" t="str">
        <x:v>Not started</x:v>
      </x:c>
      <x:c r="D17" s="28" t="n">
        <x:v>1</x:v>
      </x:c>
      <x:c r="E17" s="28" t="str"/>
      <x:c r="F17" s="28" t="str"/>
      <x:c r="G17" s="28" t="str"/>
      <x:c r="H17" s="28" t="str"/>
    </x:row>
    <x:row r="18">
      <x:c r="A18" t="str">
        <x:v>Financial</x:v>
      </x:c>
      <x:c r="B18" t="str">
        <x:v>Insurance quote includes STR and events</x:v>
      </x:c>
      <x:c r="C18" s="28" t="str">
        <x:v>Not started</x:v>
      </x:c>
      <x:c r="D18" s="28" t="n">
        <x:v>1</x:v>
      </x:c>
      <x:c r="E18" s="28" t="str"/>
      <x:c r="F18" s="28" t="str"/>
      <x:c r="G18" s="28" t="str"/>
      <x:c r="H18" s="28" t="str"/>
    </x:row>
    <x:row r="19">
      <x:c r="A19" t="str">
        <x:v>Financial</x:v>
      </x:c>
      <x:c r="B19" t="str">
        <x:v>Renovation quotes include 15% contingency</x:v>
      </x:c>
      <x:c r="C19" s="28" t="str">
        <x:v>Not started</x:v>
      </x:c>
      <x:c r="D19" s="28" t="n">
        <x:v>1</x:v>
      </x:c>
      <x:c r="E19" s="28" t="str"/>
      <x:c r="F19" s="28" t="str"/>
      <x:c r="G19" s="28" t="str"/>
      <x:c r="H19" s="28" t="str"/>
    </x:row>
    <x:row r="20">
      <x:c r="A20" t="str">
        <x:v>Tax</x:v>
      </x:c>
      <x:c r="B20" t="str">
        <x:v>CPA reviews personal-use and rental classification</x:v>
      </x:c>
      <x:c r="C20" s="28" t="str">
        <x:v>Not started</x:v>
      </x:c>
      <x:c r="D20" s="28" t="n">
        <x:v>1</x:v>
      </x:c>
      <x:c r="E20" s="28" t="str"/>
      <x:c r="F20" s="28" t="str"/>
      <x:c r="G20" s="28" t="str"/>
      <x:c r="H20" s="28" t="str"/>
    </x:row>
    <x:row r="21">
      <x:c r="A21" t="str">
        <x:v>Operations</x:v>
      </x:c>
      <x:c r="B21" t="str">
        <x:v>Cleaner, property manager, shuttle and vendors available</x:v>
      </x:c>
      <x:c r="C21" s="28" t="str">
        <x:v>Not started</x:v>
      </x:c>
      <x:c r="D21" s="28" t="n">
        <x:v>1</x:v>
      </x:c>
      <x:c r="E21" s="28" t="str"/>
      <x:c r="F21" s="28" t="str"/>
      <x:c r="G21" s="28" t="str"/>
      <x:c r="H21" s="28" t="str"/>
    </x:row>
    <x:row r="22">
      <x:c r="A22" t="str">
        <x:v>Shtick</x:v>
      </x:c>
      <x:c r="B22" t="str">
        <x:v>Expected annual lead funnel supported by historical inquiry volume</x:v>
      </x:c>
      <x:c r="C22" s="28" t="str">
        <x:v>Not started</x:v>
      </x:c>
      <x:c r="D22" s="28" t="n">
        <x:v>1</x:v>
      </x:c>
      <x:c r="E22" s="28" t="str"/>
      <x:c r="F22" s="28" t="str"/>
      <x:c r="G22" s="28" t="str"/>
      <x:c r="H22" s="28" t="str"/>
    </x:row>
    <x:row r="24">
      <x:c r="A24" s="42" t="str">
        <x:v>Average diligence score</x:v>
      </x:c>
      <x:c r="B24" s="42" t="str"/>
      <x:c r="C24" s="42" t="str"/>
      <x:c r="D24" s="76" t="n">
        <x:f>AVERAGE(D4:D22)</x:f>
        <x:v>1</x:v>
      </x:c>
      <x:c r="E24" s="42" t="str"/>
      <x:c r="F24" s="42" t="str"/>
      <x:c r="G24" s="42" t="str"/>
      <x:c r="H24" s="42" t="str"/>
    </x:row>
  </x:sheetData>
  <x:mergeCells>
    <x:mergeCell ref="A1:H1"/>
  </x:mergeCells>
  <x:dataValidations count="2">
    <x:dataValidation type="list" sqref="C4:C22">
      <x:formula1>"Not started,In progress,Complete,Issue,Rejected"</x:formula1>
    </x:dataValidation>
    <x:dataValidation type="list" sqref="D4:D22">
      <x:formula1>"1,2,3,4,5"</x:formula1>
    </x:dataValidation>
  </x:dataValidation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55" hidden="0" customWidth="1"/>
    <x:col min="4" max="4" width="55" hidden="0" customWidth="1"/>
  </x:cols>
  <x:sheetData>
    <x:row r="1" ht="28" customHeight="1">
      <x:c r="A1" s="5" t="str">
        <x:v>Model Sources &amp; Research Links</x:v>
      </x:c>
      <x:c r="B1" s="5" t="str">
        <x:v>Model Sources &amp; Research Links</x:v>
      </x:c>
      <x:c r="C1" s="5" t="str">
        <x:v>Model Sources &amp; Research Links</x:v>
      </x:c>
      <x:c r="D1" s="5" t="str">
        <x:v>Model Sources &amp; Research Links</x:v>
      </x:c>
    </x:row>
    <x:row r="3">
      <x:c r="A3" s="22" t="str">
        <x:v>Topic</x:v>
      </x:c>
      <x:c r="B3" s="22" t="str">
        <x:v>Source</x:v>
      </x:c>
      <x:c r="C3" s="22" t="str">
        <x:v>URL</x:v>
      </x:c>
      <x:c r="D3" s="22" t="str">
        <x:v>Use in model</x:v>
      </x:c>
    </x:row>
    <x:row r="4">
      <x:c r="A4" s="13" t="str">
        <x:v>Mixed personal / rental use</x:v>
      </x:c>
      <x:c r="B4" s="13" t="str">
        <x:v>IRS Publication 527</x:v>
      </x:c>
      <x:c r="C4" s="13" t="str">
        <x:v>https://www.irs.gov/publications/p527</x:v>
      </x:c>
      <x:c r="D4" s="13" t="str">
        <x:v>14-day / 10% vacation-home framework and rental allocation</x:v>
      </x:c>
    </x:row>
    <x:row r="5">
      <x:c r="A5" s="13" t="str">
        <x:v>Passive activity / short stays</x:v>
      </x:c>
      <x:c r="B5" s="13" t="str">
        <x:v>IRS Publication 925</x:v>
      </x:c>
      <x:c r="C5" s="13" t="str">
        <x:v>https://www.irs.gov/publications/p925</x:v>
      </x:c>
      <x:c r="D5" s="13" t="str">
        <x:v>Average customer use of 7 days or less exception framework</x:v>
      </x:c>
    </x:row>
    <x:row r="6">
      <x:c r="A6" s="13" t="str">
        <x:v>Airbnb host fees</x:v>
      </x:c>
      <x:c r="B6" s="13" t="str">
        <x:v>Airbnb Help: Service fees</x:v>
      </x:c>
      <x:c r="C6" s="13" t="str">
        <x:v>https://www.airbnb.com/help/article/1857</x:v>
      </x:c>
      <x:c r="D6" s="13" t="str">
        <x:v>3% split-fee and higher single-fee structures</x:v>
      </x:c>
    </x:row>
    <x:row r="7">
      <x:c r="A7" s="13" t="str">
        <x:v>New York short-term rental sales tax</x:v>
      </x:c>
      <x:c r="B7" s="13" t="str">
        <x:v>NY Department of Taxation</x:v>
      </x:c>
      <x:c r="C7" s="13" t="str">
        <x:v>https://www.tax.ny.gov/pubs_and_bulls/publications/sales/short-term-rental.htm</x:v>
      </x:c>
      <x:c r="D7" s="13" t="str">
        <x:v>Sales tax and local lodging-tax reminder</x:v>
      </x:c>
    </x:row>
    <x:row r="8">
      <x:c r="A8" s="13" t="str">
        <x:v>Local STR rules</x:v>
      </x:c>
      <x:c r="B8" s="13" t="str">
        <x:v>NY Department of State</x:v>
      </x:c>
      <x:c r="C8" s="13" t="str">
        <x:v>https://dos.ny.gov/short-term-rental-regulation</x:v>
      </x:c>
      <x:c r="D8" s="13" t="str">
        <x:v>Municipal regulation varies by town</x:v>
      </x:c>
    </x:row>
    <x:row r="9">
      <x:c r="A9" s="13" t="str">
        <x:v>Property-specific market data</x:v>
      </x:c>
      <x:c r="B9" s="13" t="str">
        <x:v>User / broker / AirDNA / Airbnb / VRBO</x:v>
      </x:c>
      <x:c r="C9" s="13" t="str">
        <x:v>Paste source URL in Market Comps</x:v>
      </x:c>
      <x:c r="D9" s="13" t="str">
        <x:v>ADR and occupancy must be property-specific</x:v>
      </x:c>
    </x:row>
    <x:row r="10">
      <x:c r="A10" s="13" t="str">
        <x:v>Wedding venue comps</x:v>
      </x:c>
      <x:c r="B10" s="13" t="str">
        <x:v>Venue websites / The Knot / WeddingWire / local planners</x:v>
      </x:c>
      <x:c r="C10" s="13" t="str">
        <x:v>Paste source URL in Wedding Comps</x:v>
      </x:c>
      <x:c r="D10" s="13" t="str">
        <x:v>Venue fees, capacity, restrictions and event count</x:v>
      </x:c>
    </x:row>
  </x:sheetData>
  <x:mergeCells>
    <x:mergeCell ref="A1:D1"/>
  </x:mergeCells>
  <x:pageMargins left="0.7" right="0.7" top="0.75" bottom="0.75" header="0.3" footer="0.3"/>
</x:worksheet>
</file>