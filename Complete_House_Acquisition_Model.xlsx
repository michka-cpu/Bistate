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enario_Second_Home" sheetId="2" state="visible" r:id="rId2"/>
    <sheet xmlns:r="http://schemas.openxmlformats.org/officeDocument/2006/relationships" name="Scenario_Investment" sheetId="3" state="visible" r:id="rId3"/>
    <sheet xmlns:r="http://schemas.openxmlformats.org/officeDocument/2006/relationships" name="Renovation Budget" sheetId="4" state="visible" r:id="rId4"/>
    <sheet xmlns:r="http://schemas.openxmlformats.org/officeDocument/2006/relationships" name="Closing Costs" sheetId="5" state="visible" r:id="rId5"/>
    <sheet xmlns:r="http://schemas.openxmlformats.org/officeDocument/2006/relationships" name="10Y Projec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Deci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 Acquisition Model</t>
        </is>
      </c>
    </row>
    <row r="3">
      <c r="A3" t="inlineStr">
        <is>
          <t>Purchase Price</t>
        </is>
      </c>
      <c r="B3" t="n">
        <v>500000</v>
      </c>
    </row>
    <row r="4">
      <c r="A4" t="inlineStr">
        <is>
          <t>Renovation</t>
        </is>
      </c>
      <c r="B4" t="n">
        <v>150000</v>
      </c>
    </row>
    <row r="5">
      <c r="A5" t="inlineStr">
        <is>
          <t>Down Payment %</t>
        </is>
      </c>
      <c r="B5" t="n">
        <v>25</v>
      </c>
    </row>
    <row r="6">
      <c r="A6" t="inlineStr">
        <is>
          <t>Down Payment</t>
        </is>
      </c>
      <c r="B6" t="n">
        <v>125000</v>
      </c>
    </row>
    <row r="7">
      <c r="A7" t="inlineStr">
        <is>
          <t>Loan Amount</t>
        </is>
      </c>
      <c r="B7" t="n">
        <v>375000</v>
      </c>
    </row>
    <row r="8">
      <c r="A8" t="inlineStr">
        <is>
          <t>Closing Costs (4%)</t>
        </is>
      </c>
      <c r="B8" t="n">
        <v>20000</v>
      </c>
    </row>
    <row r="9">
      <c r="A9" t="inlineStr">
        <is>
          <t>Furniture/Setup</t>
        </is>
      </c>
      <c r="B9" t="n">
        <v>30000</v>
      </c>
    </row>
    <row r="10">
      <c r="A10" t="inlineStr">
        <is>
          <t>Contingency (15% Reno)</t>
        </is>
      </c>
      <c r="B10" t="n">
        <v>22500</v>
      </c>
    </row>
    <row r="11">
      <c r="A11" t="inlineStr">
        <is>
          <t>Total Cash Needed</t>
        </is>
      </c>
      <c r="B11" t="n">
        <v>197500</v>
      </c>
    </row>
    <row r="12">
      <c r="A12" t="inlineStr">
        <is>
          <t>Interest Rate</t>
        </is>
      </c>
      <c r="B12" t="n">
        <v>7</v>
      </c>
    </row>
    <row r="13">
      <c r="A13" t="inlineStr">
        <is>
          <t>Loan Term</t>
        </is>
      </c>
      <c r="B13" t="n">
        <v>30</v>
      </c>
    </row>
    <row r="14">
      <c r="A14" t="inlineStr">
        <is>
          <t>Est. Mortgage P&amp;I /mo</t>
        </is>
      </c>
      <c r="B14" t="n">
        <v>2495</v>
      </c>
    </row>
    <row r="15">
      <c r="A15" t="inlineStr">
        <is>
          <t>Property Taxes/mo</t>
        </is>
      </c>
      <c r="B15" t="n">
        <v>600</v>
      </c>
    </row>
    <row r="16">
      <c r="A16" t="inlineStr">
        <is>
          <t>Insurance/mo</t>
        </is>
      </c>
      <c r="B16" t="n">
        <v>175</v>
      </c>
    </row>
    <row r="17">
      <c r="A17" t="inlineStr">
        <is>
          <t>Utilities/mo</t>
        </is>
      </c>
      <c r="B17" t="n">
        <v>350</v>
      </c>
    </row>
    <row r="18">
      <c r="A18" t="inlineStr">
        <is>
          <t>Internet/mo</t>
        </is>
      </c>
      <c r="B18" t="n">
        <v>80</v>
      </c>
    </row>
    <row r="19">
      <c r="A19" t="inlineStr">
        <is>
          <t>Cleaning/mo</t>
        </is>
      </c>
      <c r="B19" t="n">
        <v>800</v>
      </c>
    </row>
    <row r="20">
      <c r="A20" t="inlineStr">
        <is>
          <t>Maintenance Reserve/mo</t>
        </is>
      </c>
      <c r="B20" t="n">
        <v>500</v>
      </c>
    </row>
    <row r="21">
      <c r="A21" t="inlineStr">
        <is>
          <t>Snow/Landscaping/mo</t>
        </is>
      </c>
      <c r="B21" t="n">
        <v>200</v>
      </c>
    </row>
    <row r="22">
      <c r="A22" t="inlineStr">
        <is>
          <t>Airbnb Mgmt (0 if self)</t>
        </is>
      </c>
      <c r="B22" t="n">
        <v>0</v>
      </c>
    </row>
    <row r="23">
      <c r="A23" t="inlineStr">
        <is>
          <t>Software/mo</t>
        </is>
      </c>
      <c r="B23" t="n">
        <v>50</v>
      </c>
    </row>
    <row r="24">
      <c r="A24" t="inlineStr">
        <is>
          <t>Monthly Carry Cost</t>
        </is>
      </c>
      <c r="B24" t="n">
        <v>5250</v>
      </c>
    </row>
    <row r="25">
      <c r="A25" t="inlineStr">
        <is>
          <t>Nightly Rate</t>
        </is>
      </c>
      <c r="B25" t="n">
        <v>425</v>
      </c>
    </row>
    <row r="26">
      <c r="A26" t="inlineStr">
        <is>
          <t>Occupancy %</t>
        </is>
      </c>
      <c r="B26" t="n">
        <v>55</v>
      </c>
    </row>
    <row r="27">
      <c r="A27" t="inlineStr">
        <is>
          <t>Booked Nights</t>
        </is>
      </c>
      <c r="B27" t="n">
        <v>201</v>
      </c>
    </row>
    <row r="28">
      <c r="A28" t="inlineStr">
        <is>
          <t>Gross Revenue</t>
        </is>
      </c>
      <c r="B28" t="n">
        <v>85425</v>
      </c>
    </row>
    <row r="29">
      <c r="A29" t="inlineStr">
        <is>
          <t>Airbnb Fees (3%)</t>
        </is>
      </c>
      <c r="B29" t="n">
        <v>2563</v>
      </c>
    </row>
    <row r="30">
      <c r="A30" t="inlineStr">
        <is>
          <t>Net Operating Income (before debt)</t>
        </is>
      </c>
      <c r="B30" t="n">
        <v>50862</v>
      </c>
    </row>
    <row r="31">
      <c r="A31" t="inlineStr">
        <is>
          <t>Annual Debt Service</t>
        </is>
      </c>
      <c r="B31" t="n">
        <v>29940</v>
      </c>
    </row>
    <row r="32">
      <c r="A32" t="inlineStr">
        <is>
          <t>Annual Cash Flow</t>
        </is>
      </c>
      <c r="B32" t="n">
        <v>20922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</row>
    <row r="2">
      <c r="A2" t="inlineStr">
        <is>
          <t>Kitchen</t>
        </is>
      </c>
      <c r="B2" t="n">
        <v>35000</v>
      </c>
    </row>
    <row r="3">
      <c r="A3" t="inlineStr">
        <is>
          <t>Bathrooms</t>
        </is>
      </c>
      <c r="B3" t="n">
        <v>25000</v>
      </c>
    </row>
    <row r="4">
      <c r="A4" t="inlineStr">
        <is>
          <t>Floors/Paint</t>
        </is>
      </c>
      <c r="B4" t="n">
        <v>20000</v>
      </c>
    </row>
    <row r="5">
      <c r="A5" t="inlineStr">
        <is>
          <t>HVAC</t>
        </is>
      </c>
      <c r="B5" t="n">
        <v>10000</v>
      </c>
    </row>
    <row r="6">
      <c r="A6" t="inlineStr">
        <is>
          <t>Electrical</t>
        </is>
      </c>
      <c r="B6" t="n">
        <v>10000</v>
      </c>
    </row>
    <row r="7">
      <c r="A7" t="inlineStr">
        <is>
          <t>Plumbing</t>
        </is>
      </c>
      <c r="B7" t="n">
        <v>10000</v>
      </c>
    </row>
    <row r="8">
      <c r="A8" t="inlineStr">
        <is>
          <t>Furniture</t>
        </is>
      </c>
      <c r="B8" t="n">
        <v>30000</v>
      </c>
    </row>
    <row r="9">
      <c r="A9" t="inlineStr">
        <is>
          <t>Outdoor</t>
        </is>
      </c>
      <c r="B9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Estimate</t>
        </is>
      </c>
    </row>
    <row r="2">
      <c r="A2" t="inlineStr">
        <is>
          <t>Attorney</t>
        </is>
      </c>
      <c r="B2" t="n">
        <v>2500</v>
      </c>
    </row>
    <row r="3">
      <c r="A3" t="inlineStr">
        <is>
          <t>Inspection</t>
        </is>
      </c>
      <c r="B3" t="n">
        <v>1000</v>
      </c>
    </row>
    <row r="4">
      <c r="A4" t="inlineStr">
        <is>
          <t>Appraisal</t>
        </is>
      </c>
      <c r="B4" t="n">
        <v>700</v>
      </c>
    </row>
    <row r="5">
      <c r="A5" t="inlineStr">
        <is>
          <t>Title</t>
        </is>
      </c>
      <c r="B5" t="n">
        <v>2500</v>
      </c>
    </row>
    <row r="6">
      <c r="A6" t="inlineStr">
        <is>
          <t>Recording/Transfer</t>
        </is>
      </c>
      <c r="B6" t="n">
        <v>2000</v>
      </c>
    </row>
    <row r="7">
      <c r="A7" t="inlineStr">
        <is>
          <t>Lender Fees</t>
        </is>
      </c>
      <c r="B7" t="n">
        <v>4000</v>
      </c>
    </row>
    <row r="8">
      <c r="A8" t="inlineStr">
        <is>
          <t>Escrows</t>
        </is>
      </c>
      <c r="B8" t="n">
        <v>7300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Occupancy</t>
        </is>
      </c>
      <c r="B1" t="inlineStr">
        <is>
          <t>Gross Revenue</t>
        </is>
      </c>
    </row>
    <row r="2">
      <c r="A2" t="n">
        <v>35</v>
      </c>
      <c r="B2">
        <f>425*365*35/100</f>
        <v/>
      </c>
    </row>
    <row r="3">
      <c r="A3" t="n">
        <v>45</v>
      </c>
      <c r="B3">
        <f>425*365*45/100</f>
        <v/>
      </c>
    </row>
    <row r="4">
      <c r="A4" t="n">
        <v>55</v>
      </c>
      <c r="B4">
        <f>425*365*55/100</f>
        <v/>
      </c>
    </row>
    <row r="5">
      <c r="A5" t="n">
        <v>65</v>
      </c>
      <c r="B5">
        <f>425*365*65/100</f>
        <v/>
      </c>
    </row>
    <row r="6">
      <c r="A6" t="n">
        <v>75</v>
      </c>
      <c r="B6">
        <f>425*365*75/100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Yes/No</t>
        </is>
      </c>
      <c r="C1" t="inlineStr">
        <is>
          <t>Notes</t>
        </is>
      </c>
    </row>
    <row r="2">
      <c r="A2" t="inlineStr">
        <is>
          <t>Can afford with ZERO Airbnb income?</t>
        </is>
      </c>
      <c r="B2" t="inlineStr"/>
      <c r="C2" t="inlineStr"/>
    </row>
    <row r="3">
      <c r="A3" t="inlineStr">
        <is>
          <t>Maintain &gt;$100k personal liquidity?</t>
        </is>
      </c>
      <c r="B3" t="inlineStr"/>
      <c r="C3" t="inlineStr"/>
    </row>
    <row r="4">
      <c r="A4" t="inlineStr">
        <is>
          <t>Bench retains operating reserve?</t>
        </is>
      </c>
      <c r="B4" t="inlineStr"/>
      <c r="C4" t="inlineStr"/>
    </row>
    <row r="5">
      <c r="A5" t="inlineStr">
        <is>
          <t>Family reserve funded?</t>
        </is>
      </c>
      <c r="B5" t="inlineStr"/>
      <c r="C5" t="inlineStr"/>
    </row>
    <row r="6">
      <c r="A6" t="inlineStr">
        <is>
          <t>CPA reviewed tax strategy?</t>
        </is>
      </c>
      <c r="B6" t="inlineStr"/>
      <c r="C6" t="inlineStr"/>
    </row>
    <row r="7">
      <c r="A7" t="inlineStr">
        <is>
          <t>Town allows STR?</t>
        </is>
      </c>
      <c r="B7" t="inlineStr"/>
      <c r="C7" t="inlineStr"/>
    </row>
    <row r="8">
      <c r="A8" t="inlineStr">
        <is>
          <t>Property cash flows at 45% occupancy?</t>
        </is>
      </c>
      <c r="B8" t="inlineStr"/>
      <c r="C8" t="inlineStr"/>
    </row>
    <row r="9">
      <c r="A9" t="inlineStr">
        <is>
          <t>Comfortable using personally even if appreciation is flat?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2026-07-13T12:59:51Z</dcterms:created>
  <dcterms:modified xmlns:dcterms="http://purl.org/dc/terms/" xmlns:xsi="http://www.w3.org/2001/XMLSchema-instance" xsi:type="dcterms:W3CDTF">2026-07-13T12:59:51Z</dcterms:modified>
</cp:coreProperties>
</file>